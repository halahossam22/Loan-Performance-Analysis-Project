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hidePivotFieldList="1" defaultThemeVersion="166925"/>
  <mc:AlternateContent xmlns:mc="http://schemas.openxmlformats.org/markup-compatibility/2006">
    <mc:Choice Requires="x15">
      <x15ac:absPath xmlns:x15ac="http://schemas.microsoft.com/office/spreadsheetml/2010/11/ac" url="D:\Data Analysis Course\Learnio\"/>
    </mc:Choice>
  </mc:AlternateContent>
  <xr:revisionPtr revIDLastSave="0" documentId="13_ncr:1_{21303B90-5CF7-48A6-90B4-37A562F3AF6F}" xr6:coauthVersionLast="47" xr6:coauthVersionMax="47" xr10:uidLastSave="{00000000-0000-0000-0000-000000000000}"/>
  <bookViews>
    <workbookView xWindow="-108" yWindow="-108" windowWidth="23256" windowHeight="12456" xr2:uid="{EC7BF16B-2A39-482E-AE30-E0459564E56C}"/>
  </bookViews>
  <sheets>
    <sheet name="Analytics Engine" sheetId="1" r:id="rId1"/>
    <sheet name="Dashboard" sheetId="3" r:id="rId2"/>
  </sheets>
  <definedNames>
    <definedName name="Slicer_Date_Hierarchy">#N/A</definedName>
    <definedName name="Slicer_Month">#N/A</definedName>
    <definedName name="Slicer_Product_Name">#N/A</definedName>
  </definedNames>
  <calcPr calcId="191029"/>
  <pivotCaches>
    <pivotCache cacheId="2122" r:id="rId3"/>
    <pivotCache cacheId="2134" r:id="rId4"/>
    <pivotCache cacheId="2143" r:id="rId5"/>
    <pivotCache cacheId="2146" r:id="rId6"/>
    <pivotCache cacheId="2149" r:id="rId7"/>
    <pivotCache cacheId="2152" r:id="rId8"/>
    <pivotCache cacheId="2155" r:id="rId9"/>
    <pivotCache cacheId="2158" r:id="rId10"/>
    <pivotCache cacheId="2161" r:id="rId11"/>
  </pivotCaches>
  <extLst>
    <ext xmlns:x14="http://schemas.microsoft.com/office/spreadsheetml/2009/9/main" uri="{876F7934-8845-4945-9796-88D515C7AA90}">
      <x14:pivotCaches>
        <pivotCache cacheId="10"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oanDetails_bb2332e0-20ab-4ec5-b6a6-29c37f904a13" name="LoanDetails" connection="Query - LoanDetails"/>
          <x15:modelTable id="Branch_28916750-fe89-4dd2-a5a6-2ee147449d9c" name="Branch" connection="Query - Branch"/>
          <x15:modelTable id="Products_ada20a84-ef6d-4449-89cf-211782614ed9" name="Products" connection="Query - Products"/>
          <x15:modelTable id="Calendar" name="Calendar" connection="Connection"/>
        </x15:modelTables>
        <x15:modelRelationships>
          <x15:modelRelationship fromTable="LoanDetails" fromColumn="Branch ID" toTable="Branch" toColumn="Branch ID"/>
          <x15:modelRelationship fromTable="LoanDetails" fromColumn="Product ID" toTable="Products" toColumn="Product ID"/>
          <x15:modelRelationship fromTable="LoanDetails" fromColumn="Application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29B49D-83DE-4B42-B222-E470260349A3}" name="Connection" type="104" refreshedVersion="0" background="1">
    <extLst>
      <ext xmlns:x15="http://schemas.microsoft.com/office/spreadsheetml/2010/11/main" uri="{DE250136-89BD-433C-8126-D09CA5730AF9}">
        <x15:connection id="Calendar"/>
      </ext>
    </extLst>
  </connection>
  <connection id="2" xr16:uid="{6EFEBB10-FA6C-4F9A-8452-C611017ECF13}" name="Query - Branch" description="Connection to the 'Branch' query in the workbook." type="100" refreshedVersion="7" minRefreshableVersion="5">
    <extLst>
      <ext xmlns:x15="http://schemas.microsoft.com/office/spreadsheetml/2010/11/main" uri="{DE250136-89BD-433C-8126-D09CA5730AF9}">
        <x15:connection id="3290df6c-4ce3-49ac-9a5b-1c5cff4eae9e">
          <x15:oledbPr connection="Provider=Microsoft.Mashup.OleDb.1;Data Source=$Workbook$;Location=Branch;Extended Properties=&quot;&quot;">
            <x15:dbTables>
              <x15:dbTable name="Branch"/>
            </x15:dbTables>
          </x15:oledbPr>
        </x15:connection>
      </ext>
    </extLst>
  </connection>
  <connection id="3" xr16:uid="{C96A7296-8F7C-4BFA-874D-0F5308AE00DE}" name="Query - LoanDetails" description="Connection to the 'LoanDetails' query in the workbook." type="100" refreshedVersion="7" minRefreshableVersion="5">
    <extLst>
      <ext xmlns:x15="http://schemas.microsoft.com/office/spreadsheetml/2010/11/main" uri="{DE250136-89BD-433C-8126-D09CA5730AF9}">
        <x15:connection id="67b9ddd9-1a57-4c2b-9516-780b8578092e"/>
      </ext>
    </extLst>
  </connection>
  <connection id="4" xr16:uid="{4AC50983-E3BD-4F81-AAC5-06D9F310F743}" name="Query - Products" description="Connection to the 'Products' query in the workbook." type="100" refreshedVersion="7" minRefreshableVersion="5">
    <extLst>
      <ext xmlns:x15="http://schemas.microsoft.com/office/spreadsheetml/2010/11/main" uri="{DE250136-89BD-433C-8126-D09CA5730AF9}">
        <x15:connection id="390cf939-1ce6-49f8-b881-8c8d8592eea7">
          <x15:oledbPr connection="Provider=Microsoft.Mashup.OleDb.1;Data Source=$Workbook$;Location=Products;Extended Properties=&quot;&quot;">
            <x15:dbTables>
              <x15:dbTable name="Products"/>
            </x15:dbTables>
          </x15:oledbPr>
        </x15:connection>
      </ext>
    </extLst>
  </connection>
  <connection id="5" xr16:uid="{5E6FC241-B834-48E0-A707-24FF6990FEA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<sst xmlns="http://schemas.openxmlformats.org/spreadsheetml/2006/main" count="55" uniqueCount="46">
  <si>
    <t>Cards</t>
  </si>
  <si>
    <t>Charts</t>
  </si>
  <si>
    <t>Unique Borrowers</t>
  </si>
  <si>
    <t>Approval Rate</t>
  </si>
  <si>
    <t>Average Loan Size</t>
  </si>
  <si>
    <t>Total Sales</t>
  </si>
  <si>
    <t>Row Labels</t>
  </si>
  <si>
    <t>Angelastad</t>
  </si>
  <si>
    <t>East Carrie</t>
  </si>
  <si>
    <t>East Jenniferfort</t>
  </si>
  <si>
    <t>Franciscoport</t>
  </si>
  <si>
    <t>Hernandezhaven</t>
  </si>
  <si>
    <t>Marciaville</t>
  </si>
  <si>
    <t>North Phillip</t>
  </si>
  <si>
    <t>Porterton</t>
  </si>
  <si>
    <t>West Sarah</t>
  </si>
  <si>
    <t>Williamhaven</t>
  </si>
  <si>
    <t>Grand Total</t>
  </si>
  <si>
    <t>Auto Loan</t>
  </si>
  <si>
    <t>Business Loan</t>
  </si>
  <si>
    <t>Education Loan</t>
  </si>
  <si>
    <t>Home Loan</t>
  </si>
  <si>
    <t>Personal Loan</t>
  </si>
  <si>
    <t>EMP11</t>
  </si>
  <si>
    <t>EMP13</t>
  </si>
  <si>
    <t>EMP15</t>
  </si>
  <si>
    <t>EMP17</t>
  </si>
  <si>
    <t>EMP19</t>
  </si>
  <si>
    <t>Top 5 Officers</t>
  </si>
  <si>
    <t>Branches By Sales</t>
  </si>
  <si>
    <t>Products By Sales</t>
  </si>
  <si>
    <t>Count of Transaction ID</t>
  </si>
  <si>
    <t>January</t>
  </si>
  <si>
    <t>February</t>
  </si>
  <si>
    <t>March</t>
  </si>
  <si>
    <t>April</t>
  </si>
  <si>
    <t>May</t>
  </si>
  <si>
    <t>June</t>
  </si>
  <si>
    <t>July</t>
  </si>
  <si>
    <t>August</t>
  </si>
  <si>
    <t>September</t>
  </si>
  <si>
    <t>October</t>
  </si>
  <si>
    <t>November</t>
  </si>
  <si>
    <t>December</t>
  </si>
  <si>
    <t>Month per Cases</t>
  </si>
  <si>
    <t>Total Requested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</si>
</sst>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0%;\-0.00%;0.00%"/>
    <numFmt numFmtId="167" formatCode="_(* #,##0_);_(* \(#,##0\);_(* &quot;-&quot;??_);_(@_)"/>
  </numFmts>
  <fonts count="5" x14ac:knownFonts="1">
    <font>
      <sz val="11"/>
      <color theme="1"/>
      <name val="Calibri"/>
      <family val="2"/>
      <scheme val="minor"/>
    </font>
    <font>
      <sz val="11"/>
      <color theme="1"/>
      <name val="Calibri"/>
      <family val="2"/>
      <scheme val="minor"/>
    </font>
    <font>
      <sz val="18"/>
      <color theme="1"/>
      <name val="Calibri"/>
      <family val="2"/>
      <scheme val="minor"/>
    </font>
    <font>
      <b/>
      <sz val="14"/>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5">
    <xf numFmtId="0" fontId="0" fillId="0" borderId="0" xfId="0"/>
    <xf numFmtId="4" fontId="0" fillId="0" borderId="0" xfId="0" applyNumberFormat="1"/>
    <xf numFmtId="0" fontId="0" fillId="0" borderId="0" xfId="0" applyNumberFormat="1"/>
    <xf numFmtId="164" fontId="0" fillId="0" borderId="0" xfId="0" applyNumberFormat="1"/>
    <xf numFmtId="43" fontId="0" fillId="0" borderId="0" xfId="1" applyFont="1"/>
    <xf numFmtId="0" fontId="0" fillId="0" borderId="0" xfId="0" pivotButton="1"/>
    <xf numFmtId="0" fontId="0" fillId="0" borderId="0" xfId="0" applyAlignment="1">
      <alignment horizontal="left"/>
    </xf>
    <xf numFmtId="43" fontId="0" fillId="0" borderId="0" xfId="0" applyNumberFormat="1"/>
    <xf numFmtId="0" fontId="3" fillId="2" borderId="0" xfId="0" applyFont="1" applyFill="1" applyAlignment="1">
      <alignment horizontal="center" vertical="center"/>
    </xf>
    <xf numFmtId="0" fontId="0" fillId="2" borderId="0" xfId="0" applyFill="1" applyAlignment="1">
      <alignment horizontal="center" vertical="center"/>
    </xf>
    <xf numFmtId="0" fontId="2" fillId="2" borderId="0" xfId="0" applyFont="1" applyFill="1" applyAlignment="1">
      <alignment horizontal="center" vertical="center"/>
    </xf>
    <xf numFmtId="0" fontId="0" fillId="2" borderId="0" xfId="0" applyFont="1" applyFill="1" applyAlignment="1">
      <alignment horizontal="center" vertical="center"/>
    </xf>
    <xf numFmtId="0" fontId="4" fillId="2" borderId="0" xfId="0" applyFont="1" applyFill="1" applyAlignment="1">
      <alignment horizontal="center" vertical="center"/>
    </xf>
    <xf numFmtId="3" fontId="0" fillId="0" borderId="0" xfId="0" applyNumberFormat="1"/>
    <xf numFmtId="167" fontId="0" fillId="0" borderId="0" xfId="0" applyNumberFormat="1"/>
  </cellXfs>
  <cellStyles count="2">
    <cellStyle name="Comma" xfId="1" builtinId="3"/>
    <cellStyle name="Normal" xfId="0" builtinId="0"/>
  </cellStyles>
  <dxfs count="8">
    <dxf>
      <numFmt numFmtId="3" formatCode="#,##0"/>
    </dxf>
    <dxf>
      <numFmt numFmtId="35" formatCode="_(* #,##0.00_);_(* \(#,##0.00\);_(* &quot;-&quot;??_);_(@_)"/>
    </dxf>
    <dxf>
      <numFmt numFmtId="35" formatCode="_(* #,##0.00_);_(* \(#,##0.00\);_(* &quot;-&quot;??_);_(@_)"/>
    </dxf>
    <dxf>
      <numFmt numFmtId="167" formatCode="_(* #,##0_);_(* \(#,##0\);_(* &quot;-&quot;??_);_(@_)"/>
    </dxf>
    <dxf>
      <font>
        <b/>
        <i val="0"/>
        <color theme="2" tint="-0.749961851863155"/>
      </font>
    </dxf>
    <dxf>
      <font>
        <color theme="0"/>
      </font>
    </dxf>
    <dxf>
      <font>
        <b/>
        <i val="0"/>
        <color theme="2" tint="-0.749961851863155"/>
      </font>
      <fill>
        <patternFill>
          <bgColor rgb="FFCFE7F5"/>
        </patternFill>
      </fill>
    </dxf>
    <dxf>
      <numFmt numFmtId="3" formatCode="#,##0"/>
    </dxf>
  </dxfs>
  <tableStyles count="2" defaultTableStyle="TableStyleMedium2" defaultPivotStyle="PivotStyleLight16">
    <tableStyle name="Slicer Style 1" pivot="0" table="0" count="1" xr9:uid="{6C01111C-4D74-4D31-B354-03650BA28212}">
      <tableStyleElement type="wholeTable" dxfId="6"/>
    </tableStyle>
    <tableStyle name="Slicer Style 2" pivot="0" table="0" count="7" xr9:uid="{38A54946-9420-4830-9E07-000C0DF089FE}">
      <tableStyleElement type="wholeTable" dxfId="5"/>
      <tableStyleElement type="headerRow" dxfId="4"/>
    </tableStyle>
  </tableStyles>
  <colors>
    <mruColors>
      <color rgb="FFCFE7F5"/>
      <color rgb="FF5D0909"/>
      <color rgb="FF9FD0EB"/>
      <color rgb="FF91C7E8"/>
      <color rgb="FF9BC2E6"/>
      <color rgb="FF8F1515"/>
      <color rgb="FFBE1C1C"/>
    </mruColors>
  </colors>
  <extLst>
    <ext xmlns:x14="http://schemas.microsoft.com/office/spreadsheetml/2009/9/main" uri="{46F421CA-312F-682f-3DD2-61675219B42D}">
      <x14:dxfs count="4">
        <dxf>
          <fill>
            <patternFill>
              <bgColor rgb="FF5D0909"/>
            </patternFill>
          </fill>
        </dxf>
        <dxf>
          <font>
            <b/>
            <i val="0"/>
            <color theme="2" tint="-0.749961851863155"/>
          </font>
          <fill>
            <patternFill>
              <bgColor rgb="FFCFE7F5"/>
            </patternFill>
          </fill>
        </dxf>
        <dxf>
          <fill>
            <patternFill>
              <bgColor rgb="FF5D0909"/>
            </patternFill>
          </fill>
        </dxf>
        <dxf>
          <fill>
            <patternFill>
              <bgColor rgb="FF5D0909"/>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3.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6.xml"/><Relationship Id="rId51" Type="http://schemas.openxmlformats.org/officeDocument/2006/relationships/customXml" Target="../customXml/item31.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project.xlsx]Analytics Engine!Column Chart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Loan Amount</a:t>
            </a:r>
            <a:r>
              <a:rPr lang="en-US" sz="1600" baseline="0"/>
              <a:t> By Branch</a:t>
            </a:r>
          </a:p>
        </c:rich>
      </c:tx>
      <c:layout>
        <c:manualLayout>
          <c:xMode val="edge"/>
          <c:yMode val="edge"/>
          <c:x val="0.16523198835259476"/>
          <c:y val="3.67531474979840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73123359580051"/>
          <c:y val="8.8610526315789473E-2"/>
          <c:w val="0.80360209973753283"/>
          <c:h val="0.67718371443567349"/>
        </c:manualLayout>
      </c:layout>
      <c:barChart>
        <c:barDir val="col"/>
        <c:grouping val="clustered"/>
        <c:varyColors val="0"/>
        <c:ser>
          <c:idx val="0"/>
          <c:order val="0"/>
          <c:tx>
            <c:strRef>
              <c:f>'Analytics Engine'!$H$6</c:f>
              <c:strCache>
                <c:ptCount val="1"/>
                <c:pt idx="0">
                  <c:v>Total</c:v>
                </c:pt>
              </c:strCache>
            </c:strRef>
          </c:tx>
          <c:spPr>
            <a:solidFill>
              <a:schemeClr val="accent5"/>
            </a:solidFill>
            <a:ln>
              <a:noFill/>
            </a:ln>
            <a:effectLst/>
          </c:spPr>
          <c:invertIfNegative val="0"/>
          <c:cat>
            <c:strRef>
              <c:f>'Analytics Engine'!$G$7:$G$17</c:f>
              <c:strCache>
                <c:ptCount val="10"/>
                <c:pt idx="0">
                  <c:v>Angelastad</c:v>
                </c:pt>
                <c:pt idx="1">
                  <c:v>East Carrie</c:v>
                </c:pt>
                <c:pt idx="2">
                  <c:v>East Jenniferfort</c:v>
                </c:pt>
                <c:pt idx="3">
                  <c:v>Franciscoport</c:v>
                </c:pt>
                <c:pt idx="4">
                  <c:v>Hernandezhaven</c:v>
                </c:pt>
                <c:pt idx="5">
                  <c:v>Marciaville</c:v>
                </c:pt>
                <c:pt idx="6">
                  <c:v>North Phillip</c:v>
                </c:pt>
                <c:pt idx="7">
                  <c:v>Porterton</c:v>
                </c:pt>
                <c:pt idx="8">
                  <c:v>West Sarah</c:v>
                </c:pt>
                <c:pt idx="9">
                  <c:v>Williamhaven</c:v>
                </c:pt>
              </c:strCache>
            </c:strRef>
          </c:cat>
          <c:val>
            <c:numRef>
              <c:f>'Analytics Engine'!$H$7:$H$17</c:f>
              <c:numCache>
                <c:formatCode>#,##0.00</c:formatCode>
                <c:ptCount val="10"/>
                <c:pt idx="0">
                  <c:v>4015448.15</c:v>
                </c:pt>
                <c:pt idx="1">
                  <c:v>3380986.31</c:v>
                </c:pt>
                <c:pt idx="2">
                  <c:v>4060588.97</c:v>
                </c:pt>
                <c:pt idx="3">
                  <c:v>4233015.87</c:v>
                </c:pt>
                <c:pt idx="4">
                  <c:v>4356335.4000000004</c:v>
                </c:pt>
                <c:pt idx="5">
                  <c:v>3639656.87</c:v>
                </c:pt>
                <c:pt idx="6">
                  <c:v>3788112</c:v>
                </c:pt>
                <c:pt idx="7">
                  <c:v>3946702.22</c:v>
                </c:pt>
                <c:pt idx="8">
                  <c:v>3526715.84</c:v>
                </c:pt>
                <c:pt idx="9">
                  <c:v>3558604.82</c:v>
                </c:pt>
              </c:numCache>
            </c:numRef>
          </c:val>
          <c:extLst>
            <c:ext xmlns:c16="http://schemas.microsoft.com/office/drawing/2014/chart" uri="{C3380CC4-5D6E-409C-BE32-E72D297353CC}">
              <c16:uniqueId val="{00000005-3B33-49E0-B5BE-DA6BD4677D50}"/>
            </c:ext>
          </c:extLst>
        </c:ser>
        <c:dLbls>
          <c:showLegendKey val="0"/>
          <c:showVal val="0"/>
          <c:showCatName val="0"/>
          <c:showSerName val="0"/>
          <c:showPercent val="0"/>
          <c:showBubbleSize val="0"/>
        </c:dLbls>
        <c:gapWidth val="219"/>
        <c:overlap val="-27"/>
        <c:axId val="1752076672"/>
        <c:axId val="1276265488"/>
      </c:barChart>
      <c:catAx>
        <c:axId val="1752076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276265488"/>
        <c:crosses val="autoZero"/>
        <c:auto val="1"/>
        <c:lblAlgn val="ctr"/>
        <c:lblOffset val="100"/>
        <c:noMultiLvlLbl val="0"/>
      </c:catAx>
      <c:valAx>
        <c:axId val="1276265488"/>
        <c:scaling>
          <c:orientation val="minMax"/>
        </c:scaling>
        <c:delete val="0"/>
        <c:axPos val="l"/>
        <c:numFmt formatCode="###,\k" sourceLinked="0"/>
        <c:majorTickMark val="none"/>
        <c:minorTickMark val="none"/>
        <c:tickLblPos val="low"/>
        <c:spPr>
          <a:noFill/>
          <a:ln>
            <a:noFill/>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75207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schemeClr val="accent1">
          <a:lumMod val="60000"/>
          <a:lumOff val="40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project.xlsx]Analytics Engine!line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0" i="0" u="none" strike="noStrike" baseline="0">
                <a:solidFill>
                  <a:schemeClr val="bg2">
                    <a:lumMod val="25000"/>
                  </a:schemeClr>
                </a:solidFill>
              </a:rPr>
              <a:t>Loan Applications per Month</a:t>
            </a:r>
            <a:endParaRPr lang="en-US" sz="2800">
              <a:solidFill>
                <a:schemeClr val="bg2">
                  <a:lumMod val="2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a:outerShdw blurRad="50800" dist="38100" dir="2700000" sx="99000" sy="99000" algn="tl" rotWithShape="0">
              <a:srgbClr val="9FD0EB">
                <a:alpha val="36000"/>
              </a:srgbClr>
            </a:outerShdw>
          </a:effectLst>
        </c:spPr>
        <c:marker>
          <c:symbol val="circle"/>
          <c:size val="5"/>
          <c:spPr>
            <a:solidFill>
              <a:schemeClr val="accent5"/>
            </a:solidFill>
            <a:ln w="9525">
              <a:solidFill>
                <a:schemeClr val="accent5"/>
              </a:solidFill>
            </a:ln>
            <a:effectLst>
              <a:outerShdw blurRad="50800" dist="38100" dir="2700000" sx="99000" sy="99000" algn="tl" rotWithShape="0">
                <a:srgbClr val="9FD0EB">
                  <a:alpha val="36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a:outerShdw blurRad="50800" dist="38100" dir="2700000" sx="99000" sy="99000" algn="tl" rotWithShape="0">
              <a:srgbClr val="9FD0EB">
                <a:alpha val="36000"/>
              </a:srgbClr>
            </a:outerShdw>
          </a:effectLst>
        </c:spPr>
        <c:marker>
          <c:symbol val="circle"/>
          <c:size val="5"/>
          <c:spPr>
            <a:solidFill>
              <a:schemeClr val="accent5"/>
            </a:solidFill>
            <a:ln w="9525">
              <a:solidFill>
                <a:schemeClr val="accent5"/>
              </a:solidFill>
            </a:ln>
            <a:effectLst>
              <a:outerShdw blurRad="50800" dist="38100" dir="2700000" sx="99000" sy="99000" algn="tl" rotWithShape="0">
                <a:srgbClr val="9FD0EB">
                  <a:alpha val="36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57150" cap="rnd">
            <a:solidFill>
              <a:schemeClr val="accent5"/>
            </a:solidFill>
            <a:round/>
          </a:ln>
          <a:effectLst>
            <a:outerShdw blurRad="50800" dist="38100" dir="2700000" sx="99000" sy="99000" algn="tl" rotWithShape="0">
              <a:srgbClr val="9FD0EB">
                <a:alpha val="36000"/>
              </a:srgbClr>
            </a:outerShdw>
          </a:effectLst>
        </c:spPr>
        <c:marker>
          <c:symbol val="circle"/>
          <c:size val="12"/>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lumMod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57150" cap="rnd">
            <a:solidFill>
              <a:schemeClr val="accent5"/>
            </a:solidFill>
            <a:round/>
          </a:ln>
          <a:effectLst>
            <a:outerShdw blurRad="50800" dist="38100" dir="2700000" sx="99000" sy="99000" algn="tl" rotWithShape="0">
              <a:srgbClr val="9FD0EB">
                <a:alpha val="36000"/>
              </a:srgbClr>
            </a:outerShdw>
          </a:effectLst>
        </c:spPr>
        <c:marker>
          <c:symbol val="circle"/>
          <c:size val="12"/>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lumMod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41275" cap="rnd">
            <a:solidFill>
              <a:schemeClr val="accent5"/>
            </a:solidFill>
            <a:round/>
          </a:ln>
          <a:effectLst>
            <a:outerShdw blurRad="50800" dist="38100" dir="2700000" sx="99000" sy="99000" algn="tl" rotWithShape="0">
              <a:srgbClr val="9FD0EB">
                <a:alpha val="36000"/>
              </a:srgbClr>
            </a:outerShdw>
          </a:effectLst>
        </c:spPr>
        <c:marker>
          <c:symbol val="circle"/>
          <c:size val="7"/>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lumMod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'Analytics Engine'!$H$54</c:f>
              <c:strCache>
                <c:ptCount val="1"/>
                <c:pt idx="0">
                  <c:v>Total</c:v>
                </c:pt>
              </c:strCache>
            </c:strRef>
          </c:tx>
          <c:spPr>
            <a:ln w="41275" cap="rnd">
              <a:solidFill>
                <a:schemeClr val="accent5"/>
              </a:solidFill>
              <a:round/>
            </a:ln>
            <a:effectLst>
              <a:outerShdw blurRad="50800" dist="38100" dir="2700000" sx="99000" sy="99000" algn="tl" rotWithShape="0">
                <a:srgbClr val="9FD0EB">
                  <a:alpha val="36000"/>
                </a:srgbClr>
              </a:outerShdw>
            </a:effectLst>
          </c:spPr>
          <c:marker>
            <c:symbol val="circle"/>
            <c:size val="7"/>
            <c:spPr>
              <a:solidFill>
                <a:schemeClr val="accent5"/>
              </a:solidFill>
              <a:ln w="9525">
                <a:solidFill>
                  <a:schemeClr val="accent5"/>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2">
                        <a:lumMod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 Engine'!$G$55:$G$67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'Analytics Engine'!$H$55:$H$67</c:f>
              <c:numCache>
                <c:formatCode>General</c:formatCode>
                <c:ptCount val="12"/>
                <c:pt idx="0">
                  <c:v>78</c:v>
                </c:pt>
                <c:pt idx="1">
                  <c:v>78</c:v>
                </c:pt>
                <c:pt idx="2">
                  <c:v>94</c:v>
                </c:pt>
                <c:pt idx="3">
                  <c:v>70</c:v>
                </c:pt>
                <c:pt idx="4">
                  <c:v>76</c:v>
                </c:pt>
                <c:pt idx="5">
                  <c:v>88</c:v>
                </c:pt>
                <c:pt idx="6">
                  <c:v>92</c:v>
                </c:pt>
                <c:pt idx="7">
                  <c:v>90</c:v>
                </c:pt>
                <c:pt idx="8">
                  <c:v>81</c:v>
                </c:pt>
                <c:pt idx="9">
                  <c:v>81</c:v>
                </c:pt>
                <c:pt idx="10">
                  <c:v>77</c:v>
                </c:pt>
                <c:pt idx="11">
                  <c:v>94</c:v>
                </c:pt>
              </c:numCache>
            </c:numRef>
          </c:val>
          <c:smooth val="0"/>
          <c:extLst>
            <c:ext xmlns:c16="http://schemas.microsoft.com/office/drawing/2014/chart" uri="{C3380CC4-5D6E-409C-BE32-E72D297353CC}">
              <c16:uniqueId val="{00000006-83C4-4BFB-85AB-EDE6A493C46C}"/>
            </c:ext>
          </c:extLst>
        </c:ser>
        <c:dLbls>
          <c:dLblPos val="t"/>
          <c:showLegendKey val="0"/>
          <c:showVal val="1"/>
          <c:showCatName val="0"/>
          <c:showSerName val="0"/>
          <c:showPercent val="0"/>
          <c:showBubbleSize val="0"/>
        </c:dLbls>
        <c:marker val="1"/>
        <c:smooth val="0"/>
        <c:axId val="1902482912"/>
        <c:axId val="1902482080"/>
      </c:lineChart>
      <c:catAx>
        <c:axId val="19024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902482080"/>
        <c:crosses val="autoZero"/>
        <c:auto val="1"/>
        <c:lblAlgn val="ctr"/>
        <c:lblOffset val="100"/>
        <c:noMultiLvlLbl val="0"/>
      </c:catAx>
      <c:valAx>
        <c:axId val="1902482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482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srgbClr val="9FD0E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 project.xlsx]Analytics Engine!pie2</c:name>
    <c:fmtId val="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solidFill>
                  <a:schemeClr val="bg2">
                    <a:lumMod val="25000"/>
                  </a:schemeClr>
                </a:solidFill>
              </a:rPr>
              <a:t>Top 5 Loan Officers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hade val="53000"/>
            </a:schemeClr>
          </a:solidFill>
          <a:ln w="19050">
            <a:solidFill>
              <a:schemeClr val="lt1"/>
            </a:solidFill>
          </a:ln>
          <a:effectLst/>
        </c:spPr>
      </c:pivotFmt>
      <c:pivotFmt>
        <c:idx val="3"/>
        <c:spPr>
          <a:solidFill>
            <a:schemeClr val="accent5">
              <a:shade val="76000"/>
            </a:schemeClr>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tint val="77000"/>
            </a:schemeClr>
          </a:solidFill>
          <a:ln w="19050">
            <a:solidFill>
              <a:schemeClr val="lt1"/>
            </a:solidFill>
          </a:ln>
          <a:effectLst/>
        </c:spPr>
      </c:pivotFmt>
      <c:pivotFmt>
        <c:idx val="6"/>
        <c:spPr>
          <a:solidFill>
            <a:schemeClr val="accent5">
              <a:tint val="54000"/>
            </a:schemeClr>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5">
              <a:shade val="53000"/>
            </a:schemeClr>
          </a:solidFill>
          <a:ln w="19050">
            <a:solidFill>
              <a:schemeClr val="lt1"/>
            </a:solidFill>
          </a:ln>
          <a:effectLst/>
        </c:spPr>
      </c:pivotFmt>
      <c:pivotFmt>
        <c:idx val="9"/>
        <c:spPr>
          <a:solidFill>
            <a:schemeClr val="accent5">
              <a:shade val="76000"/>
            </a:schemeClr>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tint val="77000"/>
            </a:schemeClr>
          </a:solidFill>
          <a:ln w="19050">
            <a:solidFill>
              <a:schemeClr val="lt1"/>
            </a:solidFill>
          </a:ln>
          <a:effectLst/>
        </c:spPr>
      </c:pivotFmt>
      <c:pivotFmt>
        <c:idx val="12"/>
        <c:spPr>
          <a:solidFill>
            <a:schemeClr val="accent5">
              <a:tint val="54000"/>
            </a:schemeClr>
          </a:solidFill>
          <a:ln w="19050">
            <a:solidFill>
              <a:schemeClr val="lt1"/>
            </a:solidFill>
          </a:ln>
          <a:effectLst/>
        </c:spPr>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bg2">
                      <a:lumMod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5">
              <a:shade val="53000"/>
            </a:schemeClr>
          </a:solidFill>
          <a:ln w="19050">
            <a:solidFill>
              <a:schemeClr val="lt1"/>
            </a:solidFill>
          </a:ln>
          <a:effectLst/>
        </c:spPr>
      </c:pivotFmt>
      <c:pivotFmt>
        <c:idx val="15"/>
        <c:spPr>
          <a:solidFill>
            <a:schemeClr val="accent5">
              <a:shade val="76000"/>
            </a:schemeClr>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tint val="77000"/>
            </a:schemeClr>
          </a:solidFill>
          <a:ln w="19050">
            <a:solidFill>
              <a:schemeClr val="lt1"/>
            </a:solidFill>
          </a:ln>
          <a:effectLst/>
        </c:spPr>
      </c:pivotFmt>
      <c:pivotFmt>
        <c:idx val="18"/>
        <c:spPr>
          <a:solidFill>
            <a:schemeClr val="accent5">
              <a:tint val="54000"/>
            </a:schemeClr>
          </a:solidFill>
          <a:ln w="19050">
            <a:solidFill>
              <a:schemeClr val="lt1"/>
            </a:solidFill>
          </a:ln>
          <a:effectLst/>
        </c:spPr>
      </c:pivotFmt>
      <c:pivotFmt>
        <c:idx val="1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shade val="53000"/>
            </a:schemeClr>
          </a:solidFill>
          <a:ln w="19050">
            <a:solidFill>
              <a:schemeClr val="lt1"/>
            </a:solidFill>
          </a:ln>
          <a:effectLst/>
        </c:spPr>
      </c:pivotFmt>
      <c:pivotFmt>
        <c:idx val="21"/>
        <c:spPr>
          <a:solidFill>
            <a:schemeClr val="accent5">
              <a:shade val="76000"/>
            </a:schemeClr>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tint val="77000"/>
            </a:schemeClr>
          </a:solidFill>
          <a:ln w="19050">
            <a:solidFill>
              <a:schemeClr val="lt1"/>
            </a:solidFill>
          </a:ln>
          <a:effectLst/>
        </c:spPr>
      </c:pivotFmt>
      <c:pivotFmt>
        <c:idx val="24"/>
        <c:spPr>
          <a:solidFill>
            <a:schemeClr val="accent5">
              <a:tint val="54000"/>
            </a:schemeClr>
          </a:solidFill>
          <a:ln w="19050">
            <a:solidFill>
              <a:schemeClr val="lt1"/>
            </a:solidFill>
          </a:ln>
          <a:effectLst/>
        </c:spPr>
      </c:pivotFmt>
    </c:pivotFmts>
    <c:plotArea>
      <c:layout/>
      <c:barChart>
        <c:barDir val="bar"/>
        <c:grouping val="clustered"/>
        <c:varyColors val="0"/>
        <c:ser>
          <c:idx val="0"/>
          <c:order val="0"/>
          <c:tx>
            <c:strRef>
              <c:f>'Analytics Engine'!$H$39</c:f>
              <c:strCache>
                <c:ptCount val="1"/>
                <c:pt idx="0">
                  <c:v>Total</c:v>
                </c:pt>
              </c:strCache>
            </c:strRef>
          </c:tx>
          <c:spPr>
            <a:solidFill>
              <a:schemeClr val="accent5"/>
            </a:solidFill>
            <a:ln w="19050">
              <a:solidFill>
                <a:schemeClr val="lt1"/>
              </a:solidFill>
            </a:ln>
            <a:effectLst/>
          </c:spPr>
          <c:invertIfNegative val="0"/>
          <c:dPt>
            <c:idx val="0"/>
            <c:invertIfNegative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F5FE-4FB6-A471-36144FFA5991}"/>
              </c:ext>
            </c:extLst>
          </c:dPt>
          <c:dPt>
            <c:idx val="1"/>
            <c:invertIfNegative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F5FE-4FB6-A471-36144FFA5991}"/>
              </c:ext>
            </c:extLst>
          </c:dPt>
          <c:dPt>
            <c:idx val="2"/>
            <c:invertIfNegative val="0"/>
            <c:bubble3D val="0"/>
            <c:spPr>
              <a:solidFill>
                <a:schemeClr val="accent5"/>
              </a:solidFill>
              <a:ln w="19050">
                <a:solidFill>
                  <a:schemeClr val="lt1"/>
                </a:solidFill>
              </a:ln>
              <a:effectLst/>
            </c:spPr>
            <c:extLst>
              <c:ext xmlns:c16="http://schemas.microsoft.com/office/drawing/2014/chart" uri="{C3380CC4-5D6E-409C-BE32-E72D297353CC}">
                <c16:uniqueId val="{00000005-F5FE-4FB6-A471-36144FFA5991}"/>
              </c:ext>
            </c:extLst>
          </c:dPt>
          <c:dPt>
            <c:idx val="3"/>
            <c:invertIfNegative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F5FE-4FB6-A471-36144FFA5991}"/>
              </c:ext>
            </c:extLst>
          </c:dPt>
          <c:dPt>
            <c:idx val="4"/>
            <c:invertIfNegative val="0"/>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F5FE-4FB6-A471-36144FFA5991}"/>
              </c:ext>
            </c:extLst>
          </c:dPt>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'Analytics Engine'!$G$40:$G$45</c:f>
              <c:strCache>
                <c:ptCount val="5"/>
                <c:pt idx="0">
                  <c:v>EMP19</c:v>
                </c:pt>
                <c:pt idx="1">
                  <c:v>EMP13</c:v>
                </c:pt>
                <c:pt idx="2">
                  <c:v>EMP17</c:v>
                </c:pt>
                <c:pt idx="3">
                  <c:v>EMP15</c:v>
                </c:pt>
                <c:pt idx="4">
                  <c:v>EMP11</c:v>
                </c:pt>
              </c:strCache>
            </c:strRef>
          </c:cat>
          <c:val>
            <c:numRef>
              <c:f>'Analytics Engine'!$H$40:$H$45</c:f>
              <c:numCache>
                <c:formatCode>#,##0.00</c:formatCode>
                <c:ptCount val="5"/>
                <c:pt idx="0">
                  <c:v>2590664.37</c:v>
                </c:pt>
                <c:pt idx="1">
                  <c:v>2488661.9</c:v>
                </c:pt>
                <c:pt idx="2">
                  <c:v>2474740.66</c:v>
                </c:pt>
                <c:pt idx="3">
                  <c:v>2272871.42</c:v>
                </c:pt>
                <c:pt idx="4">
                  <c:v>2219630.17</c:v>
                </c:pt>
              </c:numCache>
            </c:numRef>
          </c:val>
          <c:extLst>
            <c:ext xmlns:c16="http://schemas.microsoft.com/office/drawing/2014/chart" uri="{C3380CC4-5D6E-409C-BE32-E72D297353CC}">
              <c16:uniqueId val="{0000000A-F5FE-4FB6-A471-36144FFA5991}"/>
            </c:ext>
          </c:extLst>
        </c:ser>
        <c:dLbls>
          <c:dLblPos val="outEnd"/>
          <c:showLegendKey val="0"/>
          <c:showVal val="1"/>
          <c:showCatName val="0"/>
          <c:showSerName val="0"/>
          <c:showPercent val="0"/>
          <c:showBubbleSize val="0"/>
        </c:dLbls>
        <c:gapWidth val="100"/>
        <c:axId val="122560480"/>
        <c:axId val="122559232"/>
      </c:barChart>
      <c:valAx>
        <c:axId val="1225592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2560480"/>
        <c:crossBetween val="between"/>
      </c:valAx>
      <c:catAx>
        <c:axId val="122560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22559232"/>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srgbClr val="9FD0EB">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8965</xdr:rowOff>
    </xdr:from>
    <xdr:to>
      <xdr:col>20</xdr:col>
      <xdr:colOff>0</xdr:colOff>
      <xdr:row>29</xdr:row>
      <xdr:rowOff>174746</xdr:rowOff>
    </xdr:to>
    <xdr:pic>
      <xdr:nvPicPr>
        <xdr:cNvPr id="3" name="Graphic 2">
          <a:extLst>
            <a:ext uri="{FF2B5EF4-FFF2-40B4-BE49-F238E27FC236}">
              <a16:creationId xmlns:a16="http://schemas.microsoft.com/office/drawing/2014/main" id="{01F3A2C4-8BF4-4C0E-AAF6-CAEE0441F1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8965"/>
          <a:ext cx="12192000" cy="5365310"/>
        </a:xfrm>
        <a:prstGeom prst="rect">
          <a:avLst/>
        </a:prstGeom>
      </xdr:spPr>
    </xdr:pic>
    <xdr:clientData/>
  </xdr:twoCellAnchor>
  <xdr:twoCellAnchor>
    <xdr:from>
      <xdr:col>3</xdr:col>
      <xdr:colOff>385930</xdr:colOff>
      <xdr:row>4</xdr:row>
      <xdr:rowOff>121025</xdr:rowOff>
    </xdr:from>
    <xdr:to>
      <xdr:col>7</xdr:col>
      <xdr:colOff>555812</xdr:colOff>
      <xdr:row>7</xdr:row>
      <xdr:rowOff>166744</xdr:rowOff>
    </xdr:to>
    <xdr:sp macro="" textlink="">
      <xdr:nvSpPr>
        <xdr:cNvPr id="4" name="Rectangle 3">
          <a:extLst>
            <a:ext uri="{FF2B5EF4-FFF2-40B4-BE49-F238E27FC236}">
              <a16:creationId xmlns:a16="http://schemas.microsoft.com/office/drawing/2014/main" id="{39A633D8-D9A8-492A-93AB-81EF001BBC30}"/>
            </a:ext>
          </a:extLst>
        </xdr:cNvPr>
        <xdr:cNvSpPr/>
      </xdr:nvSpPr>
      <xdr:spPr>
        <a:xfrm>
          <a:off x="2214730" y="838201"/>
          <a:ext cx="2608282" cy="583602"/>
        </a:xfrm>
        <a:prstGeom prst="rect">
          <a:avLst/>
        </a:prstGeom>
        <a:noFill/>
        <a:ln w="38100">
          <a:solidFill>
            <a:srgbClr val="91C7E8">
              <a:alpha val="6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800">
              <a:solidFill>
                <a:schemeClr val="tx1">
                  <a:lumMod val="75000"/>
                  <a:lumOff val="25000"/>
                </a:schemeClr>
              </a:solidFill>
            </a:rPr>
            <a:t>38,506,166</a:t>
          </a:r>
        </a:p>
      </xdr:txBody>
    </xdr:sp>
    <xdr:clientData/>
  </xdr:twoCellAnchor>
  <xdr:twoCellAnchor>
    <xdr:from>
      <xdr:col>3</xdr:col>
      <xdr:colOff>367554</xdr:colOff>
      <xdr:row>4</xdr:row>
      <xdr:rowOff>116542</xdr:rowOff>
    </xdr:from>
    <xdr:to>
      <xdr:col>7</xdr:col>
      <xdr:colOff>349624</xdr:colOff>
      <xdr:row>7</xdr:row>
      <xdr:rowOff>53789</xdr:rowOff>
    </xdr:to>
    <xdr:sp macro="" textlink="">
      <xdr:nvSpPr>
        <xdr:cNvPr id="5" name="TextBox 4">
          <a:extLst>
            <a:ext uri="{FF2B5EF4-FFF2-40B4-BE49-F238E27FC236}">
              <a16:creationId xmlns:a16="http://schemas.microsoft.com/office/drawing/2014/main" id="{8D0C3BCC-56DE-4186-8559-260BA828C772}"/>
            </a:ext>
          </a:extLst>
        </xdr:cNvPr>
        <xdr:cNvSpPr txBox="1"/>
      </xdr:nvSpPr>
      <xdr:spPr>
        <a:xfrm>
          <a:off x="2196354" y="833718"/>
          <a:ext cx="2420470" cy="475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a:solidFill>
                <a:schemeClr val="tx1">
                  <a:lumMod val="75000"/>
                  <a:lumOff val="25000"/>
                </a:schemeClr>
              </a:solidFill>
            </a:rPr>
            <a:t>Total Disbursed</a:t>
          </a:r>
          <a:r>
            <a:rPr lang="en-US" sz="1600" b="1" i="0" baseline="0">
              <a:solidFill>
                <a:schemeClr val="tx1">
                  <a:lumMod val="75000"/>
                  <a:lumOff val="25000"/>
                </a:schemeClr>
              </a:solidFill>
            </a:rPr>
            <a:t> Amount</a:t>
          </a:r>
          <a:endParaRPr lang="en-US" sz="1600" b="1" i="0">
            <a:solidFill>
              <a:schemeClr val="tx1">
                <a:lumMod val="75000"/>
                <a:lumOff val="25000"/>
              </a:schemeClr>
            </a:solidFill>
          </a:endParaRPr>
        </a:p>
      </xdr:txBody>
    </xdr:sp>
    <xdr:clientData/>
  </xdr:twoCellAnchor>
  <xdr:twoCellAnchor>
    <xdr:from>
      <xdr:col>8</xdr:col>
      <xdr:colOff>242047</xdr:colOff>
      <xdr:row>4</xdr:row>
      <xdr:rowOff>125506</xdr:rowOff>
    </xdr:from>
    <xdr:to>
      <xdr:col>13</xdr:col>
      <xdr:colOff>295835</xdr:colOff>
      <xdr:row>7</xdr:row>
      <xdr:rowOff>161364</xdr:rowOff>
    </xdr:to>
    <xdr:sp macro="" textlink="'Analytics Engine'!B16">
      <xdr:nvSpPr>
        <xdr:cNvPr id="6" name="Rectangle 5">
          <a:extLst>
            <a:ext uri="{FF2B5EF4-FFF2-40B4-BE49-F238E27FC236}">
              <a16:creationId xmlns:a16="http://schemas.microsoft.com/office/drawing/2014/main" id="{C7FCC7F9-5B1F-41E5-BCFF-80DC47A3D98D}"/>
            </a:ext>
          </a:extLst>
        </xdr:cNvPr>
        <xdr:cNvSpPr/>
      </xdr:nvSpPr>
      <xdr:spPr>
        <a:xfrm>
          <a:off x="5118847" y="842682"/>
          <a:ext cx="3101788" cy="573741"/>
        </a:xfrm>
        <a:prstGeom prst="rect">
          <a:avLst/>
        </a:prstGeom>
        <a:noFill/>
        <a:ln w="38100">
          <a:solidFill>
            <a:srgbClr val="91C7E8">
              <a:alpha val="6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14073B1B-7BCC-46F6-B10F-B6CC471C1423}" type="TxLink">
            <a:rPr lang="en-US" sz="2000" b="0" i="0" u="none" strike="noStrike">
              <a:solidFill>
                <a:schemeClr val="bg2">
                  <a:lumMod val="50000"/>
                </a:schemeClr>
              </a:solidFill>
              <a:latin typeface="Calibri"/>
              <a:ea typeface="Calibri"/>
              <a:cs typeface="Calibri"/>
            </a:rPr>
            <a:pPr algn="r"/>
            <a:t>54.55%</a:t>
          </a:fld>
          <a:endParaRPr lang="en-US" sz="2000">
            <a:solidFill>
              <a:schemeClr val="bg2">
                <a:lumMod val="50000"/>
              </a:schemeClr>
            </a:solidFill>
          </a:endParaRPr>
        </a:p>
      </xdr:txBody>
    </xdr:sp>
    <xdr:clientData/>
  </xdr:twoCellAnchor>
  <xdr:twoCellAnchor>
    <xdr:from>
      <xdr:col>8</xdr:col>
      <xdr:colOff>215152</xdr:colOff>
      <xdr:row>4</xdr:row>
      <xdr:rowOff>71717</xdr:rowOff>
    </xdr:from>
    <xdr:to>
      <xdr:col>11</xdr:col>
      <xdr:colOff>313764</xdr:colOff>
      <xdr:row>6</xdr:row>
      <xdr:rowOff>71717</xdr:rowOff>
    </xdr:to>
    <xdr:sp macro="" textlink="">
      <xdr:nvSpPr>
        <xdr:cNvPr id="7" name="TextBox 6">
          <a:extLst>
            <a:ext uri="{FF2B5EF4-FFF2-40B4-BE49-F238E27FC236}">
              <a16:creationId xmlns:a16="http://schemas.microsoft.com/office/drawing/2014/main" id="{DCB9B46A-7081-4F9B-83BD-6AA0EC7CFDF1}"/>
            </a:ext>
          </a:extLst>
        </xdr:cNvPr>
        <xdr:cNvSpPr txBox="1"/>
      </xdr:nvSpPr>
      <xdr:spPr>
        <a:xfrm>
          <a:off x="5091952" y="788893"/>
          <a:ext cx="1927412" cy="3585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a:solidFill>
                <a:schemeClr val="tx1">
                  <a:lumMod val="75000"/>
                  <a:lumOff val="25000"/>
                </a:schemeClr>
              </a:solidFill>
            </a:rPr>
            <a:t>Approval Rate</a:t>
          </a:r>
        </a:p>
      </xdr:txBody>
    </xdr:sp>
    <xdr:clientData/>
  </xdr:twoCellAnchor>
  <xdr:twoCellAnchor>
    <xdr:from>
      <xdr:col>14</xdr:col>
      <xdr:colOff>8965</xdr:colOff>
      <xdr:row>4</xdr:row>
      <xdr:rowOff>143435</xdr:rowOff>
    </xdr:from>
    <xdr:to>
      <xdr:col>19</xdr:col>
      <xdr:colOff>259977</xdr:colOff>
      <xdr:row>7</xdr:row>
      <xdr:rowOff>152399</xdr:rowOff>
    </xdr:to>
    <xdr:sp macro="" textlink="'Analytics Engine'!B26">
      <xdr:nvSpPr>
        <xdr:cNvPr id="8" name="Rectangle 7">
          <a:extLst>
            <a:ext uri="{FF2B5EF4-FFF2-40B4-BE49-F238E27FC236}">
              <a16:creationId xmlns:a16="http://schemas.microsoft.com/office/drawing/2014/main" id="{26EED91D-9BD6-448D-9CDA-12B0AF023DA4}"/>
            </a:ext>
          </a:extLst>
        </xdr:cNvPr>
        <xdr:cNvSpPr/>
      </xdr:nvSpPr>
      <xdr:spPr>
        <a:xfrm>
          <a:off x="8543365" y="860611"/>
          <a:ext cx="3299012" cy="546847"/>
        </a:xfrm>
        <a:prstGeom prst="rect">
          <a:avLst/>
        </a:prstGeom>
        <a:noFill/>
        <a:ln w="38100">
          <a:solidFill>
            <a:srgbClr val="91C7E8">
              <a:alpha val="69000"/>
            </a:srgb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78B528C4-967A-44B9-966E-BA86C30B64DD}" type="TxLink">
            <a:rPr lang="en-US" sz="2000" b="0" i="0" u="none" strike="noStrike">
              <a:solidFill>
                <a:schemeClr val="bg2">
                  <a:lumMod val="50000"/>
                </a:schemeClr>
              </a:solidFill>
              <a:latin typeface="Calibri"/>
              <a:ea typeface="Calibri"/>
              <a:cs typeface="Calibri"/>
            </a:rPr>
            <a:pPr algn="r"/>
            <a:t> 345,132,306 </a:t>
          </a:fld>
          <a:endParaRPr lang="en-US" sz="2000">
            <a:solidFill>
              <a:schemeClr val="bg2">
                <a:lumMod val="50000"/>
              </a:schemeClr>
            </a:solidFill>
          </a:endParaRPr>
        </a:p>
      </xdr:txBody>
    </xdr:sp>
    <xdr:clientData/>
  </xdr:twoCellAnchor>
  <xdr:twoCellAnchor>
    <xdr:from>
      <xdr:col>13</xdr:col>
      <xdr:colOff>573740</xdr:colOff>
      <xdr:row>4</xdr:row>
      <xdr:rowOff>80682</xdr:rowOff>
    </xdr:from>
    <xdr:to>
      <xdr:col>19</xdr:col>
      <xdr:colOff>331693</xdr:colOff>
      <xdr:row>6</xdr:row>
      <xdr:rowOff>62752</xdr:rowOff>
    </xdr:to>
    <xdr:sp macro="" textlink="">
      <xdr:nvSpPr>
        <xdr:cNvPr id="9" name="TextBox 8">
          <a:extLst>
            <a:ext uri="{FF2B5EF4-FFF2-40B4-BE49-F238E27FC236}">
              <a16:creationId xmlns:a16="http://schemas.microsoft.com/office/drawing/2014/main" id="{CB0B4037-F41B-415B-AF21-A0DF5A9E95F9}"/>
            </a:ext>
          </a:extLst>
        </xdr:cNvPr>
        <xdr:cNvSpPr txBox="1"/>
      </xdr:nvSpPr>
      <xdr:spPr>
        <a:xfrm>
          <a:off x="8498540" y="797858"/>
          <a:ext cx="3415553" cy="340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a:solidFill>
                <a:schemeClr val="tx1">
                  <a:lumMod val="75000"/>
                  <a:lumOff val="25000"/>
                </a:schemeClr>
              </a:solidFill>
            </a:rPr>
            <a:t>Total Requested</a:t>
          </a:r>
          <a:r>
            <a:rPr lang="en-US" sz="1800" b="1" i="0" baseline="0">
              <a:solidFill>
                <a:schemeClr val="tx1">
                  <a:lumMod val="75000"/>
                  <a:lumOff val="25000"/>
                </a:schemeClr>
              </a:solidFill>
            </a:rPr>
            <a:t> Amount</a:t>
          </a:r>
          <a:endParaRPr lang="en-US" sz="1800" b="1" i="0">
            <a:solidFill>
              <a:schemeClr val="tx1">
                <a:lumMod val="75000"/>
                <a:lumOff val="25000"/>
              </a:schemeClr>
            </a:solidFill>
          </a:endParaRPr>
        </a:p>
      </xdr:txBody>
    </xdr:sp>
    <xdr:clientData/>
  </xdr:twoCellAnchor>
  <xdr:twoCellAnchor>
    <xdr:from>
      <xdr:col>15</xdr:col>
      <xdr:colOff>251012</xdr:colOff>
      <xdr:row>8</xdr:row>
      <xdr:rowOff>89646</xdr:rowOff>
    </xdr:from>
    <xdr:to>
      <xdr:col>19</xdr:col>
      <xdr:colOff>573742</xdr:colOff>
      <xdr:row>29</xdr:row>
      <xdr:rowOff>80683</xdr:rowOff>
    </xdr:to>
    <xdr:graphicFrame macro="">
      <xdr:nvGraphicFramePr>
        <xdr:cNvPr id="10" name="Chart 9">
          <a:extLst>
            <a:ext uri="{FF2B5EF4-FFF2-40B4-BE49-F238E27FC236}">
              <a16:creationId xmlns:a16="http://schemas.microsoft.com/office/drawing/2014/main" id="{6165A952-D51F-4761-BCBA-DD074B711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170329</xdr:colOff>
      <xdr:row>16</xdr:row>
      <xdr:rowOff>143435</xdr:rowOff>
    </xdr:from>
    <xdr:to>
      <xdr:col>15</xdr:col>
      <xdr:colOff>242047</xdr:colOff>
      <xdr:row>29</xdr:row>
      <xdr:rowOff>71718</xdr:rowOff>
    </xdr:to>
    <xdr:graphicFrame macro="">
      <xdr:nvGraphicFramePr>
        <xdr:cNvPr id="11" name="Chart 10">
          <a:extLst>
            <a:ext uri="{FF2B5EF4-FFF2-40B4-BE49-F238E27FC236}">
              <a16:creationId xmlns:a16="http://schemas.microsoft.com/office/drawing/2014/main" id="{9D8FEFEE-655C-4919-89BF-2F5479233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197223</xdr:colOff>
      <xdr:row>8</xdr:row>
      <xdr:rowOff>62752</xdr:rowOff>
    </xdr:from>
    <xdr:to>
      <xdr:col>15</xdr:col>
      <xdr:colOff>215152</xdr:colOff>
      <xdr:row>16</xdr:row>
      <xdr:rowOff>98612</xdr:rowOff>
    </xdr:to>
    <xdr:graphicFrame macro="">
      <xdr:nvGraphicFramePr>
        <xdr:cNvPr id="12" name="Chart 11">
          <a:extLst>
            <a:ext uri="{FF2B5EF4-FFF2-40B4-BE49-F238E27FC236}">
              <a16:creationId xmlns:a16="http://schemas.microsoft.com/office/drawing/2014/main" id="{9ED7D80E-AF23-4CFC-92C3-CB751917F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60511</xdr:colOff>
      <xdr:row>0</xdr:row>
      <xdr:rowOff>102199</xdr:rowOff>
    </xdr:from>
    <xdr:to>
      <xdr:col>3</xdr:col>
      <xdr:colOff>60511</xdr:colOff>
      <xdr:row>10</xdr:row>
      <xdr:rowOff>35860</xdr:rowOff>
    </xdr:to>
    <mc:AlternateContent xmlns:mc="http://schemas.openxmlformats.org/markup-compatibility/2006">
      <mc:Choice xmlns:a14="http://schemas.microsoft.com/office/drawing/2010/main" Requires="a14">
        <xdr:graphicFrame macro="">
          <xdr:nvGraphicFramePr>
            <xdr:cNvPr id="14" name="Product Name">
              <a:extLst>
                <a:ext uri="{FF2B5EF4-FFF2-40B4-BE49-F238E27FC236}">
                  <a16:creationId xmlns:a16="http://schemas.microsoft.com/office/drawing/2014/main" id="{6830171C-9D29-4F6A-9C14-85A56E82669A}"/>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60511" y="102199"/>
              <a:ext cx="1828800" cy="17266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51546</xdr:colOff>
      <xdr:row>10</xdr:row>
      <xdr:rowOff>102198</xdr:rowOff>
    </xdr:from>
    <xdr:to>
      <xdr:col>3</xdr:col>
      <xdr:colOff>51546</xdr:colOff>
      <xdr:row>16</xdr:row>
      <xdr:rowOff>26894</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D3FEA938-ED39-457F-90C2-E8DA5D455D0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1546" y="1895139"/>
              <a:ext cx="1828800" cy="1000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35859</xdr:colOff>
      <xdr:row>16</xdr:row>
      <xdr:rowOff>102198</xdr:rowOff>
    </xdr:from>
    <xdr:to>
      <xdr:col>3</xdr:col>
      <xdr:colOff>35859</xdr:colOff>
      <xdr:row>29</xdr:row>
      <xdr:rowOff>125507</xdr:rowOff>
    </xdr:to>
    <mc:AlternateContent xmlns:mc="http://schemas.openxmlformats.org/markup-compatibility/2006">
      <mc:Choice xmlns:a14="http://schemas.microsoft.com/office/drawing/2010/main" Requires="a14">
        <xdr:graphicFrame macro="">
          <xdr:nvGraphicFramePr>
            <xdr:cNvPr id="19" name="Month">
              <a:extLst>
                <a:ext uri="{FF2B5EF4-FFF2-40B4-BE49-F238E27FC236}">
                  <a16:creationId xmlns:a16="http://schemas.microsoft.com/office/drawing/2014/main" id="{2730D940-77BD-4A70-A2B8-05E49F7D591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5859" y="2970904"/>
              <a:ext cx="1828800" cy="2354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251010</xdr:colOff>
      <xdr:row>0</xdr:row>
      <xdr:rowOff>89648</xdr:rowOff>
    </xdr:from>
    <xdr:to>
      <xdr:col>11</xdr:col>
      <xdr:colOff>510988</xdr:colOff>
      <xdr:row>3</xdr:row>
      <xdr:rowOff>62754</xdr:rowOff>
    </xdr:to>
    <xdr:sp macro="" textlink="">
      <xdr:nvSpPr>
        <xdr:cNvPr id="21" name="TextBox 20">
          <a:extLst>
            <a:ext uri="{FF2B5EF4-FFF2-40B4-BE49-F238E27FC236}">
              <a16:creationId xmlns:a16="http://schemas.microsoft.com/office/drawing/2014/main" id="{9D00C4D9-5ADF-4A78-9235-392F518744A1}"/>
            </a:ext>
          </a:extLst>
        </xdr:cNvPr>
        <xdr:cNvSpPr txBox="1"/>
      </xdr:nvSpPr>
      <xdr:spPr>
        <a:xfrm>
          <a:off x="2079810" y="89648"/>
          <a:ext cx="5136778" cy="510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2">
                  <a:lumMod val="25000"/>
                </a:schemeClr>
              </a:solidFill>
            </a:rPr>
            <a:t>Loan Performance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a Hosam" refreshedDate="46264.861002546299" backgroundQuery="1" createdVersion="7" refreshedVersion="7" minRefreshableVersion="3" recordCount="0" supportSubquery="1" supportAdvancedDrill="1" xr:uid="{511593C5-11CE-440F-95BF-449A5042A92F}">
  <cacheSource type="external" connectionId="5"/>
  <cacheFields count="2">
    <cacheField name="[Measures].[Average Loan Size]" caption="Average Loan Size" numFmtId="0" hierarchy="30" level="32767"/>
    <cacheField name="[Products].[Product Name].[Product Name]" caption="Product Name" numFmtId="0" hierarchy="25" level="1">
      <sharedItems containsSemiMixedTypes="0" containsNonDate="0" containsString="0"/>
    </cacheField>
  </cacheFields>
  <cacheHierarchies count="4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Turn Around Time]" caption="Turn Around Time" attribute="1" defaultMemberUniqueName="[LoanDetails].[Turn Around Time].[All]" allUniqueName="[LoanDetails].[Turn Around Time].[All]" dimensionUniqueName="[LoanDetails]" displayFolder="" count="0" memberValueDatatype="2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No. Of Loan Applications]" caption="No. Of Loan Applications" measure="1" displayFolder="" measureGroup="LoanDetails" count="0"/>
    <cacheHierarchy uniqueName="[Measures].[Total Approved Amount]" caption="Total Approved Amount" measure="1" displayFolder="" measureGroup="LoanDetails" count="0"/>
    <cacheHierarchy uniqueName="[Measures].[No. Of Approved]" caption="No. Of Approved" measure="1" displayFolder="" measureGroup="LoanDetails" count="0"/>
    <cacheHierarchy uniqueName="[Measures].[Approval Rate]" caption="Approval Rate" measure="1" displayFolder="" measureGroup="LoanDetails" count="0"/>
    <cacheHierarchy uniqueName="[Measures].[Average Loan Size]" caption="Average Loan Size" measure="1" displayFolder="" measureGroup="LoanDetails" count="0" oneField="1">
      <fieldsUsage count="1">
        <fieldUsage x="0"/>
      </fieldsUsage>
    </cacheHierarchy>
    <cacheHierarchy uniqueName="[Measures].[Unique Borrowers]" caption="Unique Borrowers" measure="1" displayFolder="" measureGroup="LoanDetails" count="0"/>
    <cacheHierarchy uniqueName="[Measures].[AVG TAT&amp;SLA]" caption="AVG TAT&amp;SLA" measure="1" displayFolder="" measureGroup="LoanDetails" count="0"/>
    <cacheHierarchy uniqueName="[Measures].[__XL_Count LoanDetails]" caption="__XL_Count LoanDetails" measure="1" displayFolder="" measureGroup="LoanDetails" count="0" hidden="1"/>
    <cacheHierarchy uniqueName="[Measures].[__XL_Count Branch]" caption="__XL_Count Branch" measure="1" displayFolder="" measureGroup="Branch"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a Hosam" refreshedDate="46264.861004745369" backgroundQuery="1" createdVersion="7" refreshedVersion="7" minRefreshableVersion="3" recordCount="0" supportSubquery="1" supportAdvancedDrill="1" xr:uid="{DB7BEA61-E888-4868-B0F1-2DF8B90B7D8F}">
  <cacheSource type="external" connectionId="5"/>
  <cacheFields count="3">
    <cacheField name="[Measures].[Total Approved Amount]" caption="Total Approved Amount" numFmtId="0" hierarchy="27" level="32767"/>
    <cacheField name="[LoanDetails].[Officer ID].[Officer ID]" caption="Officer ID" numFmtId="0" hierarchy="14" level="1">
      <sharedItems count="5">
        <s v="EMP11"/>
        <s v="EMP13"/>
        <s v="EMP15"/>
        <s v="EMP17"/>
        <s v="EMP19"/>
      </sharedItems>
    </cacheField>
    <cacheField name="[Products].[Product Name].[Product Name]" caption="Product Name" numFmtId="0" hierarchy="25" level="1">
      <sharedItems containsSemiMixedTypes="0" containsNonDate="0" containsString="0"/>
    </cacheField>
  </cacheFields>
  <cacheHierarchies count="4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2" memberValueDatatype="130" unbalanced="0">
      <fieldsUsage count="2">
        <fieldUsage x="-1"/>
        <fieldUsage x="1"/>
      </fieldsUsage>
    </cacheHierarchy>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Turn Around Time]" caption="Turn Around Time" attribute="1" defaultMemberUniqueName="[LoanDetails].[Turn Around Time].[All]" allUniqueName="[LoanDetails].[Turn Around Time].[All]" dimensionUniqueName="[LoanDetails]" displayFolder="" count="0" memberValueDatatype="2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2"/>
      </fieldsUsage>
    </cacheHierarchy>
    <cacheHierarchy uniqueName="[Measures].[No. Of Loan Applications]" caption="No. Of Loan Applications" measure="1" displayFolder="" measureGroup="LoanDetails" count="0"/>
    <cacheHierarchy uniqueName="[Measures].[Total Approved Amount]" caption="Total Approved Amount" measure="1" displayFolder="" measureGroup="LoanDetails" count="0" oneField="1">
      <fieldsUsage count="1">
        <fieldUsage x="0"/>
      </fieldsUsage>
    </cacheHierarchy>
    <cacheHierarchy uniqueName="[Measures].[No. Of Approved]" caption="No. Of Approved" measure="1" displayFolder="" measureGroup="LoanDetails" count="0"/>
    <cacheHierarchy uniqueName="[Measures].[Approval Rate]" caption="Approval Rate" measure="1" displayFolder="" measureGroup="LoanDetails" count="0"/>
    <cacheHierarchy uniqueName="[Measures].[Average Loan Size]" caption="Average Loan Size" measure="1" displayFolder="" measureGroup="LoanDetails" count="0"/>
    <cacheHierarchy uniqueName="[Measures].[Unique Borrowers]" caption="Unique Borrowers" measure="1" displayFolder="" measureGroup="LoanDetails" count="0"/>
    <cacheHierarchy uniqueName="[Measures].[AVG TAT&amp;SLA]" caption="AVG TAT&amp;SLA" measure="1" displayFolder="" measureGroup="LoanDetails" count="0"/>
    <cacheHierarchy uniqueName="[Measures].[__XL_Count LoanDetails]" caption="__XL_Count LoanDetails" measure="1" displayFolder="" measureGroup="LoanDetails" count="0" hidden="1"/>
    <cacheHierarchy uniqueName="[Measures].[__XL_Count Branch]" caption="__XL_Count Branch" measure="1" displayFolder="" measureGroup="Branch"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a Hosam" refreshedDate="46264.861005555555" backgroundQuery="1" createdVersion="7" refreshedVersion="7" minRefreshableVersion="3" recordCount="0" supportSubquery="1" supportAdvancedDrill="1" xr:uid="{82D28505-2BE6-4535-8EB2-6413BC3E7E8E}">
  <cacheSource type="external" connectionId="5"/>
  <cacheFields count="2">
    <cacheField name="[Measures].[Unique Borrowers]" caption="Unique Borrowers" numFmtId="0" hierarchy="31" level="32767"/>
    <cacheField name="[Products].[Product Name].[Product Name]" caption="Product Name" numFmtId="0" hierarchy="25" level="1">
      <sharedItems containsSemiMixedTypes="0" containsNonDate="0" containsString="0"/>
    </cacheField>
  </cacheFields>
  <cacheHierarchies count="4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Turn Around Time]" caption="Turn Around Time" attribute="1" defaultMemberUniqueName="[LoanDetails].[Turn Around Time].[All]" allUniqueName="[LoanDetails].[Turn Around Time].[All]" dimensionUniqueName="[LoanDetails]" displayFolder="" count="0" memberValueDatatype="2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No. Of Loan Applications]" caption="No. Of Loan Applications" measure="1" displayFolder="" measureGroup="LoanDetails" count="0"/>
    <cacheHierarchy uniqueName="[Measures].[Total Approved Amount]" caption="Total Approved Amount" measure="1" displayFolder="" measureGroup="LoanDetails" count="0"/>
    <cacheHierarchy uniqueName="[Measures].[No. Of Approved]" caption="No. Of Approved" measure="1" displayFolder="" measureGroup="LoanDetails" count="0"/>
    <cacheHierarchy uniqueName="[Measures].[Approval Rate]" caption="Approval Rate" measure="1" displayFolder="" measureGroup="LoanDetails" count="0"/>
    <cacheHierarchy uniqueName="[Measures].[Average Loan Size]" caption="Average Loan Size" measure="1" displayFolder="" measureGroup="LoanDetails" count="0"/>
    <cacheHierarchy uniqueName="[Measures].[Unique Borrowers]" caption="Unique Borrowers" measure="1" displayFolder="" measureGroup="LoanDetails" count="0" oneField="1">
      <fieldsUsage count="1">
        <fieldUsage x="0"/>
      </fieldsUsage>
    </cacheHierarchy>
    <cacheHierarchy uniqueName="[Measures].[AVG TAT&amp;SLA]" caption="AVG TAT&amp;SLA" measure="1" displayFolder="" measureGroup="LoanDetails" count="0"/>
    <cacheHierarchy uniqueName="[Measures].[__XL_Count LoanDetails]" caption="__XL_Count LoanDetails" measure="1" displayFolder="" measureGroup="LoanDetails" count="0" hidden="1"/>
    <cacheHierarchy uniqueName="[Measures].[__XL_Count Branch]" caption="__XL_Count Branch" measure="1" displayFolder="" measureGroup="Branch"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a Hosam" refreshedDate="46264.861023495374" backgroundQuery="1" createdVersion="7" refreshedVersion="7" minRefreshableVersion="3" recordCount="0" supportSubquery="1" supportAdvancedDrill="1" xr:uid="{49E4408E-C234-4F06-BDD3-C4DFCBAACDE2}">
  <cacheSource type="external" connectionId="5"/>
  <cacheFields count="4">
    <cacheField name="[Measures].[Approval Rate]" caption="Approval Rate" numFmtId="0" hierarchy="29" level="32767"/>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4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Turn Around Time]" caption="Turn Around Time" attribute="1" defaultMemberUniqueName="[LoanDetails].[Turn Around Time].[All]" allUniqueName="[LoanDetails].[Turn Around Time].[All]" dimensionUniqueName="[LoanDetails]" displayFolder="" count="0" memberValueDatatype="2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No. Of Loan Applications]" caption="No. Of Loan Applications" measure="1" displayFolder="" measureGroup="LoanDetails" count="0"/>
    <cacheHierarchy uniqueName="[Measures].[Total Approved Amount]" caption="Total Approved Amount" measure="1" displayFolder="" measureGroup="LoanDetails" count="0"/>
    <cacheHierarchy uniqueName="[Measures].[No. Of Approved]" caption="No. Of Approved" measure="1" displayFolder="" measureGroup="LoanDetails" count="0"/>
    <cacheHierarchy uniqueName="[Measures].[Approval Rate]" caption="Approval Rate" measure="1" displayFolder="" measureGroup="LoanDetails" count="0" oneField="1">
      <fieldsUsage count="1">
        <fieldUsage x="0"/>
      </fieldsUsage>
    </cacheHierarchy>
    <cacheHierarchy uniqueName="[Measures].[Average Loan Size]" caption="Average Loan Size" measure="1" displayFolder="" measureGroup="LoanDetails" count="0"/>
    <cacheHierarchy uniqueName="[Measures].[Unique Borrowers]" caption="Unique Borrowers" measure="1" displayFolder="" measureGroup="LoanDetails" count="0"/>
    <cacheHierarchy uniqueName="[Measures].[AVG TAT&amp;SLA]" caption="AVG TAT&amp;SLA" measure="1" displayFolder="" measureGroup="LoanDetails" count="0"/>
    <cacheHierarchy uniqueName="[Measures].[__XL_Count LoanDetails]" caption="__XL_Count LoanDetails" measure="1" displayFolder="" measureGroup="LoanDetails" count="0" hidden="1"/>
    <cacheHierarchy uniqueName="[Measures].[__XL_Count Branch]" caption="__XL_Count Branch" measure="1" displayFolder="" measureGroup="Branch"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a Hosam" refreshedDate="46264.86102384259" backgroundQuery="1" createdVersion="7" refreshedVersion="7" minRefreshableVersion="3" recordCount="0" supportSubquery="1" supportAdvancedDrill="1" xr:uid="{A1613F18-81BA-41F7-9AF4-17F65774D430}">
  <cacheSource type="external" connectionId="5"/>
  <cacheFields count="5">
    <cacheField name="[Measures].[Total Approved Amount]" caption="Total Approved Amount" numFmtId="0" hierarchy="27" level="32767"/>
    <cacheField name="[Branch].[Branch Name].[Branch Name]" caption="Branch Name" numFmtId="0" hierarchy="1" level="1">
      <sharedItems count="10">
        <s v="Angelastad"/>
        <s v="East Carrie"/>
        <s v="East Jenniferfort"/>
        <s v="Franciscoport"/>
        <s v="Hernandezhaven"/>
        <s v="Marciaville"/>
        <s v="North Phillip"/>
        <s v="Porterton"/>
        <s v="West Sarah"/>
        <s v="Williamhaven"/>
      </sharedItems>
    </cacheField>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4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Turn Around Time]" caption="Turn Around Time" attribute="1" defaultMemberUniqueName="[LoanDetails].[Turn Around Time].[All]" allUniqueName="[LoanDetails].[Turn Around Time].[All]" dimensionUniqueName="[LoanDetails]" displayFolder="" count="0" memberValueDatatype="2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No. Of Loan Applications]" caption="No. Of Loan Applications" measure="1" displayFolder="" measureGroup="LoanDetails" count="0"/>
    <cacheHierarchy uniqueName="[Measures].[Total Approved Amount]" caption="Total Approved Amount" measure="1" displayFolder="" measureGroup="LoanDetails" count="0" oneField="1">
      <fieldsUsage count="1">
        <fieldUsage x="0"/>
      </fieldsUsage>
    </cacheHierarchy>
    <cacheHierarchy uniqueName="[Measures].[No. Of Approved]" caption="No. Of Approved" measure="1" displayFolder="" measureGroup="LoanDetails" count="0"/>
    <cacheHierarchy uniqueName="[Measures].[Approval Rate]" caption="Approval Rate" measure="1" displayFolder="" measureGroup="LoanDetails" count="0"/>
    <cacheHierarchy uniqueName="[Measures].[Average Loan Size]" caption="Average Loan Size" measure="1" displayFolder="" measureGroup="LoanDetails" count="0"/>
    <cacheHierarchy uniqueName="[Measures].[Unique Borrowers]" caption="Unique Borrowers" measure="1" displayFolder="" measureGroup="LoanDetails" count="0"/>
    <cacheHierarchy uniqueName="[Measures].[AVG TAT&amp;SLA]" caption="AVG TAT&amp;SLA" measure="1" displayFolder="" measureGroup="LoanDetails" count="0"/>
    <cacheHierarchy uniqueName="[Measures].[__XL_Count LoanDetails]" caption="__XL_Count LoanDetails" measure="1" displayFolder="" measureGroup="LoanDetails" count="0" hidden="1"/>
    <cacheHierarchy uniqueName="[Measures].[__XL_Count Branch]" caption="__XL_Count Branch" measure="1" displayFolder="" measureGroup="Branch"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a Hosam" refreshedDate="46264.861024305559" backgroundQuery="1" createdVersion="7" refreshedVersion="7" minRefreshableVersion="3" recordCount="0" supportSubquery="1" supportAdvancedDrill="1" xr:uid="{4D807D9F-2D0E-4BFE-AFF2-BACDF0E2286F}">
  <cacheSource type="external" connectionId="5"/>
  <cacheFields count="6">
    <cacheField name="[LoanDetails].[Officer ID].[Officer ID]" caption="Officer ID" numFmtId="0" hierarchy="14" level="1">
      <sharedItems count="5">
        <s v="EMP11"/>
        <s v="EMP13"/>
        <s v="EMP15"/>
        <s v="EMP17"/>
        <s v="EMP19"/>
      </sharedItems>
    </cacheField>
    <cacheField name="[Measures].[Count of Transaction ID]" caption="Count of Transaction ID" numFmtId="0" hierarchy="39" level="32767"/>
    <cacheField name="[Calendar].[Month].[Month]" caption="Month" numFmtId="0" hierarchy="6" level="1">
      <sharedItems count="12">
        <s v="January"/>
        <s v="February"/>
        <s v="March"/>
        <s v="April"/>
        <s v="May"/>
        <s v="June"/>
        <s v="July"/>
        <s v="August"/>
        <s v="September"/>
        <s v="October"/>
        <s v="November"/>
        <s v="December"/>
      </sharedItems>
    </cacheField>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4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2" memberValueDatatype="130" unbalanced="0">
      <fieldsUsage count="2">
        <fieldUsage x="-1"/>
        <fieldUsage x="0"/>
      </fieldsUsage>
    </cacheHierarchy>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Turn Around Time]" caption="Turn Around Time" attribute="1" defaultMemberUniqueName="[LoanDetails].[Turn Around Time].[All]" allUniqueName="[LoanDetails].[Turn Around Time].[All]" dimensionUniqueName="[LoanDetails]" displayFolder="" count="0" memberValueDatatype="2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No. Of Loan Applications]" caption="No. Of Loan Applications" measure="1" displayFolder="" measureGroup="LoanDetails" count="0"/>
    <cacheHierarchy uniqueName="[Measures].[Total Approved Amount]" caption="Total Approved Amount" measure="1" displayFolder="" measureGroup="LoanDetails" count="0"/>
    <cacheHierarchy uniqueName="[Measures].[No. Of Approved]" caption="No. Of Approved" measure="1" displayFolder="" measureGroup="LoanDetails" count="0"/>
    <cacheHierarchy uniqueName="[Measures].[Approval Rate]" caption="Approval Rate" measure="1" displayFolder="" measureGroup="LoanDetails" count="0"/>
    <cacheHierarchy uniqueName="[Measures].[Average Loan Size]" caption="Average Loan Size" measure="1" displayFolder="" measureGroup="LoanDetails" count="0"/>
    <cacheHierarchy uniqueName="[Measures].[Unique Borrowers]" caption="Unique Borrowers" measure="1" displayFolder="" measureGroup="LoanDetails" count="0"/>
    <cacheHierarchy uniqueName="[Measures].[AVG TAT&amp;SLA]" caption="AVG TAT&amp;SLA" measure="1" displayFolder="" measureGroup="LoanDetails" count="0"/>
    <cacheHierarchy uniqueName="[Measures].[__XL_Count LoanDetails]" caption="__XL_Count LoanDetails" measure="1" displayFolder="" measureGroup="LoanDetails" count="0" hidden="1"/>
    <cacheHierarchy uniqueName="[Measures].[__XL_Count Branch]" caption="__XL_Count Branch" measure="1" displayFolder="" measureGroup="Branch"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a Hosam" refreshedDate="46264.861024768521" backgroundQuery="1" createdVersion="7" refreshedVersion="7" minRefreshableVersion="3" recordCount="0" supportSubquery="1" supportAdvancedDrill="1" xr:uid="{3B096BF0-1C86-4F72-A284-33DBEDC17005}">
  <cacheSource type="external" connectionId="5"/>
  <cacheFields count="5">
    <cacheField name="[Measures].[Total Approved Amount]" caption="Total Approved Amount" numFmtId="0" hierarchy="27" level="32767"/>
    <cacheField name="[Products].[Product Name].[Product Name]" caption="Product Name" numFmtId="0" hierarchy="25" level="1">
      <sharedItems count="5">
        <s v="Auto Loan"/>
        <s v="Business Loan"/>
        <s v="Education Loan"/>
        <s v="Home Loan"/>
        <s v="Personal Loan"/>
      </sharedItems>
    </cacheField>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4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Turn Around Time]" caption="Turn Around Time" attribute="1" defaultMemberUniqueName="[LoanDetails].[Turn Around Time].[All]" allUniqueName="[LoanDetails].[Turn Around Time].[All]" dimensionUniqueName="[LoanDetails]" displayFolder="" count="0" memberValueDatatype="2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No. Of Loan Applications]" caption="No. Of Loan Applications" measure="1" displayFolder="" measureGroup="LoanDetails" count="0"/>
    <cacheHierarchy uniqueName="[Measures].[Total Approved Amount]" caption="Total Approved Amount" measure="1" displayFolder="" measureGroup="LoanDetails" count="0" oneField="1">
      <fieldsUsage count="1">
        <fieldUsage x="0"/>
      </fieldsUsage>
    </cacheHierarchy>
    <cacheHierarchy uniqueName="[Measures].[No. Of Approved]" caption="No. Of Approved" measure="1" displayFolder="" measureGroup="LoanDetails" count="0"/>
    <cacheHierarchy uniqueName="[Measures].[Approval Rate]" caption="Approval Rate" measure="1" displayFolder="" measureGroup="LoanDetails" count="0"/>
    <cacheHierarchy uniqueName="[Measures].[Average Loan Size]" caption="Average Loan Size" measure="1" displayFolder="" measureGroup="LoanDetails" count="0"/>
    <cacheHierarchy uniqueName="[Measures].[Unique Borrowers]" caption="Unique Borrowers" measure="1" displayFolder="" measureGroup="LoanDetails" count="0"/>
    <cacheHierarchy uniqueName="[Measures].[AVG TAT&amp;SLA]" caption="AVG TAT&amp;SLA" measure="1" displayFolder="" measureGroup="LoanDetails" count="0"/>
    <cacheHierarchy uniqueName="[Measures].[__XL_Count LoanDetails]" caption="__XL_Count LoanDetails" measure="1" displayFolder="" measureGroup="LoanDetails" count="0" hidden="1"/>
    <cacheHierarchy uniqueName="[Measures].[__XL_Count Branch]" caption="__XL_Count Branch" measure="1" displayFolder="" measureGroup="Branch"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a Hosam" refreshedDate="46264.86102488426" backgroundQuery="1" createdVersion="7" refreshedVersion="7" minRefreshableVersion="3" recordCount="0" supportSubquery="1" supportAdvancedDrill="1" xr:uid="{16D6263E-724C-430C-807E-D23594499D35}">
  <cacheSource type="external" connectionId="5"/>
  <cacheFields count="4">
    <cacheField name="[Measures].[Sum of Requested Amount]" caption="Sum of Requested Amount" numFmtId="0" hierarchy="38" level="32767"/>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4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Turn Around Time]" caption="Turn Around Time" attribute="1" defaultMemberUniqueName="[LoanDetails].[Turn Around Time].[All]" allUniqueName="[LoanDetails].[Turn Around Time].[All]" dimensionUniqueName="[LoanDetails]" displayFolder="" count="0" memberValueDatatype="2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No. Of Loan Applications]" caption="No. Of Loan Applications" measure="1" displayFolder="" measureGroup="LoanDetails" count="0"/>
    <cacheHierarchy uniqueName="[Measures].[Total Approved Amount]" caption="Total Approved Amount" measure="1" displayFolder="" measureGroup="LoanDetails" count="0"/>
    <cacheHierarchy uniqueName="[Measures].[No. Of Approved]" caption="No. Of Approved" measure="1" displayFolder="" measureGroup="LoanDetails" count="0"/>
    <cacheHierarchy uniqueName="[Measures].[Approval Rate]" caption="Approval Rate" measure="1" displayFolder="" measureGroup="LoanDetails" count="0"/>
    <cacheHierarchy uniqueName="[Measures].[Average Loan Size]" caption="Average Loan Size" measure="1" displayFolder="" measureGroup="LoanDetails" count="0"/>
    <cacheHierarchy uniqueName="[Measures].[Unique Borrowers]" caption="Unique Borrowers" measure="1" displayFolder="" measureGroup="LoanDetails" count="0"/>
    <cacheHierarchy uniqueName="[Measures].[AVG TAT&amp;SLA]" caption="AVG TAT&amp;SLA" measure="1" displayFolder="" measureGroup="LoanDetails" count="0"/>
    <cacheHierarchy uniqueName="[Measures].[__XL_Count LoanDetails]" caption="__XL_Count LoanDetails" measure="1" displayFolder="" measureGroup="LoanDetails" count="0" hidden="1"/>
    <cacheHierarchy uniqueName="[Measures].[__XL_Count Branch]" caption="__XL_Count Branch" measure="1" displayFolder="" measureGroup="Branch"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quested Amount]" caption="Sum of Requested Amount" measure="1" displayFolder="" measureGroup="LoanDetail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a Hosam" refreshedDate="46264.861024999998" backgroundQuery="1" createdVersion="7" refreshedVersion="7" minRefreshableVersion="3" recordCount="0" supportSubquery="1" supportAdvancedDrill="1" xr:uid="{0A815F55-DF22-4032-B13E-E0ACC11BDB93}">
  <cacheSource type="external" connectionId="5"/>
  <cacheFields count="4">
    <cacheField name="[Measures].[Total Approved Amount]" caption="Total Approved Amount" numFmtId="0" hierarchy="27" level="32767"/>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40">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Turn Around Time]" caption="Turn Around Time" attribute="1" defaultMemberUniqueName="[LoanDetails].[Turn Around Time].[All]" allUniqueName="[LoanDetails].[Turn Around Time].[All]" dimensionUniqueName="[LoanDetails]" displayFolder="" count="0" memberValueDatatype="2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No. Of Loan Applications]" caption="No. Of Loan Applications" measure="1" displayFolder="" measureGroup="LoanDetails" count="0"/>
    <cacheHierarchy uniqueName="[Measures].[Total Approved Amount]" caption="Total Approved Amount" measure="1" displayFolder="" measureGroup="LoanDetails" count="0" oneField="1">
      <fieldsUsage count="1">
        <fieldUsage x="0"/>
      </fieldsUsage>
    </cacheHierarchy>
    <cacheHierarchy uniqueName="[Measures].[No. Of Approved]" caption="No. Of Approved" measure="1" displayFolder="" measureGroup="LoanDetails" count="0"/>
    <cacheHierarchy uniqueName="[Measures].[Approval Rate]" caption="Approval Rate" measure="1" displayFolder="" measureGroup="LoanDetails" count="0"/>
    <cacheHierarchy uniqueName="[Measures].[Average Loan Size]" caption="Average Loan Size" measure="1" displayFolder="" measureGroup="LoanDetails" count="0"/>
    <cacheHierarchy uniqueName="[Measures].[Unique Borrowers]" caption="Unique Borrowers" measure="1" displayFolder="" measureGroup="LoanDetails" count="0"/>
    <cacheHierarchy uniqueName="[Measures].[AVG TAT&amp;SLA]" caption="AVG TAT&amp;SLA" measure="1" displayFolder="" measureGroup="LoanDetails" count="0"/>
    <cacheHierarchy uniqueName="[Measures].[__XL_Count LoanDetails]" caption="__XL_Count LoanDetails" measure="1" displayFolder="" measureGroup="LoanDetails" count="0" hidden="1"/>
    <cacheHierarchy uniqueName="[Measures].[__XL_Count Branch]" caption="__XL_Count Branch" measure="1" displayFolder="" measureGroup="Branch"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la Hosam" refreshedDate="46264.726488541666" backgroundQuery="1" createdVersion="3" refreshedVersion="7" minRefreshableVersion="3" recordCount="0" supportSubquery="1" supportAdvancedDrill="1" xr:uid="{6993AE2C-580A-4069-93A9-56DF3E5BC6A0}">
  <cacheSource type="external" connectionId="5">
    <extLst>
      <ext xmlns:x14="http://schemas.microsoft.com/office/spreadsheetml/2009/9/main" uri="{F057638F-6D5F-4e77-A914-E7F072B9BCA8}">
        <x14:sourceConnection name="ThisWorkbookDataModel"/>
      </ext>
    </extLst>
  </cacheSource>
  <cacheFields count="0"/>
  <cacheHierarchies count="41">
    <cacheHierarchy uniqueName="[Branch].[Branch ID]" caption="Branch ID" attribute="1" defaultMemberUniqueName="[Branch].[Branch ID].[All]" allUniqueName="[Branch].[Branch ID].[All]" dimensionUniqueName="[Branch]" displayFolder="" count="2" memberValueDatatype="130" unbalanced="0"/>
    <cacheHierarchy uniqueName="[Branch].[Branch Name]" caption="Branch Name" attribute="1" defaultMemberUniqueName="[Branch].[Branch Name].[All]" allUniqueName="[Branch].[Branch Nam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LoanDetails].[Transaction ID]" caption="Transaction ID" attribute="1" defaultMemberUniqueName="[LoanDetails].[Transaction ID].[All]" allUniqueName="[LoanDetails].[Transaction ID].[All]" dimensionUniqueName="[LoanDetails]" displayFolder="" count="2" memberValueDatatype="130" unbalanced="0"/>
    <cacheHierarchy uniqueName="[LoanDetails].[Customer ID]" caption="Customer ID" attribute="1" defaultMemberUniqueName="[LoanDetails].[Customer ID].[All]" allUniqueName="[LoanDetails].[Customer ID].[All]" dimensionUniqueName="[LoanDetails]" displayFolder="" count="2" memberValueDatatype="130" unbalanced="0"/>
    <cacheHierarchy uniqueName="[LoanDetails].[Product ID]" caption="Product ID" attribute="1" defaultMemberUniqueName="[LoanDetails].[Product ID].[All]" allUniqueName="[LoanDetails].[Product ID].[All]" dimensionUniqueName="[LoanDetails]" displayFolder="" count="2" memberValueDatatype="130" unbalanced="0"/>
    <cacheHierarchy uniqueName="[LoanDetails].[Branch ID]" caption="Branch ID" attribute="1" defaultMemberUniqueName="[LoanDetails].[Branch ID].[All]" allUniqueName="[LoanDetails].[Branch ID].[All]" dimensionUniqueName="[LoanDetails]" displayFolder="" count="2" memberValueDatatype="130" unbalanced="0"/>
    <cacheHierarchy uniqueName="[LoanDetails].[Officer ID]" caption="Officer ID" attribute="1" defaultMemberUniqueName="[LoanDetails].[Officer ID].[All]" allUniqueName="[LoanDetails].[Officer ID].[All]" dimensionUniqueName="[LoanDetails]" displayFolder="" count="2"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2" memberValueDatatype="7" unbalanced="0"/>
    <cacheHierarchy uniqueName="[LoanDetails].[Requested Amount]" caption="Requested Amount" attribute="1" defaultMemberUniqueName="[LoanDetails].[Requested Amount].[All]" allUniqueName="[LoanDetails].[Requested Amount].[All]" dimensionUniqueName="[LoanDetails]" displayFolder="" count="2" memberValueDatatype="20" unbalanced="0"/>
    <cacheHierarchy uniqueName="[LoanDetails].[Loan Amount]" caption="Loan Amount" attribute="1" defaultMemberUniqueName="[LoanDetails].[Loan Amount].[All]" allUniqueName="[LoanDetails].[Loan Amount].[All]" dimensionUniqueName="[LoanDetails]" displayFolder="" count="2" memberValueDatatype="5" unbalanced="0"/>
    <cacheHierarchy uniqueName="[LoanDetails].[Tenure (Months)]" caption="Tenure (Months)" attribute="1" defaultMemberUniqueName="[LoanDetails].[Tenure (Months)].[All]" allUniqueName="[LoanDetails].[Tenure (Months)].[All]" dimensionUniqueName="[LoanDetails]" displayFolder="" count="2" memberValueDatatype="20" unbalanced="0"/>
    <cacheHierarchy uniqueName="[LoanDetails].[Approval Status]" caption="Approval Status" attribute="1" defaultMemberUniqueName="[LoanDetails].[Approval Status].[All]" allUniqueName="[LoanDetails].[Approval Status].[All]" dimensionUniqueName="[LoanDetails]" displayFolder="" count="2" memberValueDatatype="130" unbalanced="0"/>
    <cacheHierarchy uniqueName="[LoanDetails].[Turn Around Time]" caption="Turn Around Time" attribute="1" defaultMemberUniqueName="[LoanDetails].[Turn Around Time].[All]" allUniqueName="[LoanDetails].[Turn Around Time].[All]" dimensionUniqueName="[LoanDetails]" displayFolder="" count="2" memberValueDatatype="20" unbalanced="0"/>
    <cacheHierarchy uniqueName="[LoanDetails].[Installment Amount]" caption="Installment Amount" attribute="1" defaultMemberUniqueName="[LoanDetails].[Installment Amount].[All]" allUniqueName="[LoanDetails].[Installment Amount].[All]" dimensionUniqueName="[LoanDetails]" displayFolder="" count="2" memberValueDatatype="5" unbalanced="0"/>
    <cacheHierarchy uniqueName="[LoanDetails].[SLA]" caption="SLA" attribute="1" defaultMemberUniqueName="[LoanDetails].[SLA].[All]" allUniqueName="[LoanDetails].[SLA].[All]" dimensionUniqueName="[LoanDetails]"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No. Of Loan Applications]" caption="No. Of Loan Applications" measure="1" displayFolder="" measureGroup="LoanDetails" count="0"/>
    <cacheHierarchy uniqueName="[Measures].[Total Approved Amount]" caption="Total Approved Amount" measure="1" displayFolder="" measureGroup="LoanDetails" count="0"/>
    <cacheHierarchy uniqueName="[Measures].[No. Of Approved]" caption="No. Of Approved" measure="1" displayFolder="" measureGroup="LoanDetails" count="0"/>
    <cacheHierarchy uniqueName="[Measures].[Approval Rate]" caption="Approval Rate" measure="1" displayFolder="" measureGroup="LoanDetails" count="0"/>
    <cacheHierarchy uniqueName="[Measures].[Average Loan Size]" caption="Average Loan Size" measure="1" displayFolder="" measureGroup="LoanDetails" count="0"/>
    <cacheHierarchy uniqueName="[Measures].[Unique Borrowers]" caption="Unique Borrowers" measure="1" displayFolder="" measureGroup="LoanDetails" count="0"/>
    <cacheHierarchy uniqueName="[Measures].[AVG TAT&amp;SLA]" caption="AVG TAT&amp;SLA" measure="1" displayFolder="" measureGroup="LoanDetails" count="0"/>
    <cacheHierarchy uniqueName="[Measures].[__XL_Count LoanDetails]" caption="__XL_Count LoanDetails" measure="1" displayFolder="" measureGroup="LoanDetails" count="0" hidden="1"/>
    <cacheHierarchy uniqueName="[Measures].[__XL_Count Branch]" caption="__XL_Count Branch" measure="1" displayFolder="" measureGroup="Branch"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licerData="1" pivotCacheId="13706034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70867F-0326-41C4-B7B3-AFE966391745}" name="line" cacheId="2152" applyNumberFormats="0" applyBorderFormats="0" applyFontFormats="0" applyPatternFormats="0" applyAlignmentFormats="0" applyWidthHeightFormats="1" dataCaption="Values" tag="b82267fc-d606-4d83-b129-6f0c3f5462ce" updatedVersion="7" minRefreshableVersion="3" useAutoFormatting="1" subtotalHiddenItems="1" itemPrintTitles="1" createdVersion="7" indent="0" outline="1" outlineData="1" multipleFieldFilters="0" chartFormat="8">
  <location ref="G54:H67" firstHeaderRow="1" firstDataRow="1" firstDataCol="1"/>
  <pivotFields count="6">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pivotField subtotalTop="0" showAll="0" dataSourceSort="1" defaultSubtotal="0"/>
    <pivotField subtotalTop="0" showAll="0" dataSourceSort="1" defaultSubtotal="0"/>
  </pivotFields>
  <rowFields count="1">
    <field x="2"/>
  </rowFields>
  <rowItems count="13">
    <i>
      <x/>
    </i>
    <i>
      <x v="1"/>
    </i>
    <i>
      <x v="2"/>
    </i>
    <i>
      <x v="3"/>
    </i>
    <i>
      <x v="4"/>
    </i>
    <i>
      <x v="5"/>
    </i>
    <i>
      <x v="6"/>
    </i>
    <i>
      <x v="7"/>
    </i>
    <i>
      <x v="8"/>
    </i>
    <i>
      <x v="9"/>
    </i>
    <i>
      <x v="10"/>
    </i>
    <i>
      <x v="11"/>
    </i>
    <i t="grand">
      <x/>
    </i>
  </rowItems>
  <colItems count="1">
    <i/>
  </colItems>
  <dataFields count="1">
    <dataField name="Count of Transaction ID" fld="1" subtotal="count" baseField="0" baseItem="0"/>
  </dataFields>
  <chartFormats count="1">
    <chartFormat chart="7" format="4"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27">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10FF36-1097-47C4-8A25-D3BC4F752073}" name="Total Requested Amount" cacheId="2158" applyNumberFormats="0" applyBorderFormats="0" applyFontFormats="0" applyPatternFormats="0" applyAlignmentFormats="0" applyWidthHeightFormats="1" dataCaption="Values" tag="38cae3f2-e187-4be3-92ff-c2ea465c8689" updatedVersion="7" minRefreshableVersion="3" useAutoFormatting="1" subtotalHiddenItems="1" itemPrintTitles="1" createdVersion="7" indent="0" outline="1" outlineData="1" multipleFieldFilters="0">
  <location ref="B25:B26"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Total Requested Amount" fld="0" baseField="0" baseItem="0" numFmtId="167"/>
  </dataFields>
  <formats count="3">
    <format dxfId="1">
      <pivotArea type="all" dataOnly="0" outline="0" fieldPosition="0"/>
    </format>
    <format dxfId="2">
      <pivotArea dataOnly="0" labelOnly="1" outline="0" axis="axisValues" fieldPosition="0"/>
    </format>
    <format dxfId="3">
      <pivotArea outline="0" collapsedLevelsAreSubtotals="1" fieldPosition="0"/>
    </format>
  </formats>
  <pivotHierarchies count="40">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quested Am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4088FE-11DB-46A1-8CCE-EF14A4A4724E}" name="Approval Rate" cacheId="2146" applyNumberFormats="0" applyBorderFormats="0" applyFontFormats="0" applyPatternFormats="0" applyAlignmentFormats="0" applyWidthHeightFormats="1" dataCaption="Values" tag="254acb68-f133-400d-976d-23c160bdb542" updatedVersion="7" minRefreshableVersion="3" useAutoFormatting="1" subtotalHiddenItems="1" itemPrintTitles="1" createdVersion="7" indent="0" outline="1" outlineData="1" multipleFieldFilters="0">
  <location ref="B15:B16"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40">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8A8247-3862-4075-9151-2ABB5B0A3B9B}" name="pie2" cacheId="2134" applyNumberFormats="0" applyBorderFormats="0" applyFontFormats="0" applyPatternFormats="0" applyAlignmentFormats="0" applyWidthHeightFormats="1" dataCaption="Values" tag="017e33d7-24ce-4148-8f87-7350454ef231" updatedVersion="7" minRefreshableVersion="3" useAutoFormatting="1" subtotalHiddenItems="1" itemPrintTitles="1" createdVersion="7" indent="0" outline="1" outlineData="1" multipleFieldFilters="0" chartFormat="8">
  <location ref="G39:H45"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1"/>
    </i>
    <i>
      <x v="3"/>
    </i>
    <i>
      <x v="2"/>
    </i>
    <i>
      <x/>
    </i>
    <i t="grand">
      <x/>
    </i>
  </rowItems>
  <colItems count="1">
    <i/>
  </colItems>
  <dataFields count="1">
    <dataField name="Total Sales" fld="0" subtotal="count" baseField="0" baseItem="0"/>
  </dataFields>
  <chartFormats count="6">
    <chartFormat chart="7" format="19" series="1">
      <pivotArea type="data" outline="0" fieldPosition="0">
        <references count="1">
          <reference field="4294967294" count="1" selected="0">
            <x v="0"/>
          </reference>
        </references>
      </pivotArea>
    </chartFormat>
    <chartFormat chart="7" format="20">
      <pivotArea type="data" outline="0" fieldPosition="0">
        <references count="2">
          <reference field="4294967294" count="1" selected="0">
            <x v="0"/>
          </reference>
          <reference field="1" count="1" selected="0">
            <x v="4"/>
          </reference>
        </references>
      </pivotArea>
    </chartFormat>
    <chartFormat chart="7" format="21">
      <pivotArea type="data" outline="0" fieldPosition="0">
        <references count="2">
          <reference field="4294967294" count="1" selected="0">
            <x v="0"/>
          </reference>
          <reference field="1" count="1" selected="0">
            <x v="1"/>
          </reference>
        </references>
      </pivotArea>
    </chartFormat>
    <chartFormat chart="7" format="22">
      <pivotArea type="data" outline="0" fieldPosition="0">
        <references count="2">
          <reference field="4294967294" count="1" selected="0">
            <x v="0"/>
          </reference>
          <reference field="1" count="1" selected="0">
            <x v="3"/>
          </reference>
        </references>
      </pivotArea>
    </chartFormat>
    <chartFormat chart="7" format="23">
      <pivotArea type="data" outline="0" fieldPosition="0">
        <references count="2">
          <reference field="4294967294" count="1" selected="0">
            <x v="0"/>
          </reference>
          <reference field="1" count="1" selected="0">
            <x v="2"/>
          </reference>
        </references>
      </pivotArea>
    </chartFormat>
    <chartFormat chart="7" format="24">
      <pivotArea type="data" outline="0" fieldPosition="0">
        <references count="2">
          <reference field="4294967294" count="1" selected="0">
            <x v="0"/>
          </reference>
          <reference field="1" count="1" selected="0">
            <x v="0"/>
          </reference>
        </references>
      </pivotArea>
    </chartFormat>
  </chartFormats>
  <pivotHierarchies count="40">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1" type="count" id="1" iMeasureHier="27">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F5B06A-043A-4B60-BD86-192ACC92F4AD}" name="Unique customers" cacheId="2143" applyNumberFormats="0" applyBorderFormats="0" applyFontFormats="0" applyPatternFormats="0" applyAlignmentFormats="0" applyWidthHeightFormats="1" dataCaption="Values" tag="1d9f4b95-cf83-49be-9a51-c82ecc4c6539" updatedVersion="7" minRefreshableVersion="3" useAutoFormatting="1" itemPrintTitles="1" createdVersion="7" indent="0" outline="1" outlineData="1" multipleFieldFilters="0">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0">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F8F263-1011-46FC-9373-C5D7CCE3183E}" name="Total Sales" cacheId="2161" applyNumberFormats="0" applyBorderFormats="0" applyFontFormats="0" applyPatternFormats="0" applyAlignmentFormats="0" applyWidthHeightFormats="1" dataCaption="Values" tag="f7ea0dbf-9596-4364-97d5-fab6f2e3098b" updatedVersion="7" minRefreshableVersion="3" useAutoFormatting="1" subtotalHiddenItems="1" itemPrintTitles="1" createdVersion="7" indent="0" outline="1" outlineData="1" multipleFieldFilters="0">
  <location ref="B5:B6"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name="Total Sales" fld="0" subtotal="count" baseField="0" baseItem="0" numFmtId="3"/>
  </dataFields>
  <formats count="1">
    <format dxfId="0">
      <pivotArea outline="0" collapsedLevelsAreSubtotals="1" fieldPosition="0"/>
    </format>
  </formats>
  <pivotHierarchies count="40">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F9DC99-420F-45F6-947A-C1915D5FC41B}" name="pie 1" cacheId="2155" applyNumberFormats="0" applyBorderFormats="0" applyFontFormats="0" applyPatternFormats="0" applyAlignmentFormats="0" applyWidthHeightFormats="1" dataCaption="Values" tag="44ad2542-0167-4891-aae2-5305f0c41fd5" updatedVersion="7" minRefreshableVersion="3" useAutoFormatting="1" subtotalHiddenItems="1" itemPrintTitles="1" createdVersion="7" indent="0" outline="1" outlineData="1" multipleFieldFilters="0" chartFormat="6">
  <location ref="G26:H32"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6">
    <i>
      <x/>
    </i>
    <i>
      <x v="1"/>
    </i>
    <i>
      <x v="2"/>
    </i>
    <i>
      <x v="3"/>
    </i>
    <i>
      <x v="4"/>
    </i>
    <i t="grand">
      <x/>
    </i>
  </rowItems>
  <colItems count="1">
    <i/>
  </colItems>
  <dataFields count="1">
    <dataField name="Total Sales" fld="0" subtotal="count" baseField="0" baseItem="0"/>
  </dataFields>
  <pivotHierarchies count="40">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2CED99-634E-4E29-A592-5DFAED3C6697}" name="Column Chart" cacheId="2149" applyNumberFormats="0" applyBorderFormats="0" applyFontFormats="0" applyPatternFormats="0" applyAlignmentFormats="0" applyWidthHeightFormats="1" dataCaption="Values" tag="0a21351b-98e7-4e89-8f68-81415af3bfc4" updatedVersion="7" minRefreshableVersion="3" useAutoFormatting="1" subtotalHiddenItems="1" itemPrintTitles="1" createdVersion="7" indent="0" outline="1" outlineData="1" multipleFieldFilters="0" chartFormat="8">
  <location ref="G6:H17" firstHeaderRow="1" firstDataRow="1" firstDataCol="1"/>
  <pivotFields count="5">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1">
    <i>
      <x/>
    </i>
    <i>
      <x v="1"/>
    </i>
    <i>
      <x v="2"/>
    </i>
    <i>
      <x v="3"/>
    </i>
    <i>
      <x v="4"/>
    </i>
    <i>
      <x v="5"/>
    </i>
    <i>
      <x v="6"/>
    </i>
    <i>
      <x v="7"/>
    </i>
    <i>
      <x v="8"/>
    </i>
    <i>
      <x v="9"/>
    </i>
    <i t="grand">
      <x/>
    </i>
  </rowItems>
  <colItems count="1">
    <i/>
  </colItems>
  <dataFields count="1">
    <dataField name="Total Sales" fld="0" subtotal="count" baseField="0" baseItem="0"/>
  </dataFields>
  <chartFormats count="1">
    <chartFormat chart="7" format="4"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multipleItemSelectionAllowed="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caption="Total Sal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5A50C7-5FD1-4E40-9EB7-DB6E88DC5AF8}" name="Average Loan size" cacheId="2122" applyNumberFormats="0" applyBorderFormats="0" applyFontFormats="0" applyPatternFormats="0" applyAlignmentFormats="0" applyWidthHeightFormats="1" dataCaption="Values" tag="fcbdbb02-a5df-4055-9757-d29322346bf5" updatedVersion="7" minRefreshableVersion="3" useAutoFormatting="1" itemPrintTitles="1" createdVersion="7" indent="0" outline="1" outlineData="1" multipleFieldFilters="0">
  <location ref="B20:B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formats count="1">
    <format dxfId="7">
      <pivotArea outline="0" collapsedLevelsAreSubtotals="1" fieldPosition="0"/>
    </format>
  </formats>
  <pivotHierarchies count="40">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BCD98EB-070B-4030-A8E4-D636C3889874}" sourceName="[Products].[Product Name]">
  <pivotTables>
    <pivotTable tabId="1" name="Approval Rate"/>
    <pivotTable tabId="1" name="Average Loan size"/>
    <pivotTable tabId="1" name="Column Chart"/>
    <pivotTable tabId="1" name="line"/>
    <pivotTable tabId="1" name="pie 1"/>
    <pivotTable tabId="1" name="pie2"/>
    <pivotTable tabId="1" name="Total Requested Amount"/>
    <pivotTable tabId="1" name="Total Sales"/>
    <pivotTable tabId="1" name="Unique customers"/>
  </pivotTables>
  <data>
    <olap pivotCacheId="1370603479">
      <levels count="2">
        <level uniqueName="[Products].[Product Name].[(All)]" sourceCaption="(All)" count="0"/>
        <level uniqueName="[Products].[Product Name].[Product Name]" sourceCaption="Product Name" count="5">
          <ranges>
            <range startItem="0">
              <i n="[Products].[Product Name].&amp;[Auto Loan]" c="Auto Loan"/>
              <i n="[Products].[Product Name].&amp;[Business Loan]" c="Business Loan"/>
              <i n="[Products].[Product Name].&amp;[Education Loan]" c="Education Loan"/>
              <i n="[Products].[Product Name].&amp;[Home Loan]" c="Home Loan"/>
              <i n="[Products].[Product Name].&amp;[Personal Loan]" c="Personal Loan"/>
            </range>
          </ranges>
        </level>
      </levels>
      <selections count="1">
        <selection n="[Products].[Product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E1162312-5D7E-435A-AACB-D72CE3A78203}" sourceName="[Calendar].[Date Hierarchy]">
  <pivotTables>
    <pivotTable tabId="1" name="Approval Rate"/>
    <pivotTable tabId="1" name="Column Chart"/>
    <pivotTable tabId="1" name="line"/>
    <pivotTable tabId="1" name="pie 1"/>
    <pivotTable tabId="1" name="Total Requested Amount"/>
    <pivotTable tabId="1" name="Total Sales"/>
  </pivotTables>
  <data>
    <olap pivotCacheId="1370603479">
      <levels count="4">
        <level uniqueName="[Calendar].[Date Hierarchy].[(All)]" sourceCaption="(All)" count="0"/>
        <level uniqueName="[Calendar].[Date Hierarchy].[Year]" sourceCaption="Year" count="3">
          <ranges>
            <range startItem="0">
              <i n="[Calendar].[Date Hierarchy].[Year].&amp;[2023]" c="2023"/>
              <i n="[Calendar].[Date Hierarchy].[Year].&amp;[2024]" c="2024"/>
              <i n="[Calendar].[Date Hierarchy].[Year].&amp;[2025]" c="2025" nd="1"/>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416C545-EDDB-4043-AEB1-6310C48F8D5D}" sourceName="[Calendar].[Month]">
  <pivotTables>
    <pivotTable tabId="1" name="Approval Rate"/>
    <pivotTable tabId="1" name="Column Chart"/>
    <pivotTable tabId="1" name="line"/>
    <pivotTable tabId="1" name="pie 1"/>
    <pivotTable tabId="1" name="Total Requested Amount"/>
    <pivotTable tabId="1" name="Total Sales"/>
  </pivotTables>
  <data>
    <olap pivotCacheId="1370603479">
      <levels count="2">
        <level uniqueName="[Calendar].[Month].[(All)]" sourceCaption="(All)" count="0"/>
        <level uniqueName="[Calendar].[Month].[Month]" sourceCaption="Month" count="12">
          <ranges>
            <range startItem="0">
              <i n="[Calendar].[Month].&amp;[January]" c="January"/>
              <i n="[Calendar].[Month].&amp;[February]" c="February"/>
              <i n="[Calendar].[Month].&amp;[March]" c="March"/>
              <i n="[Calendar].[Month].&amp;[April]" c="April"/>
              <i n="[Calendar].[Month].&amp;[May]" c="May"/>
              <i n="[Calendar].[Month].&amp;[June]" c="June"/>
              <i n="[Calendar].[Month].&amp;[July]" c="July"/>
              <i n="[Calendar].[Month].&amp;[August]" c="August"/>
              <i n="[Calendar].[Month].&amp;[September]" c="September"/>
              <i n="[Calendar].[Month].&amp;[October]" c="October"/>
              <i n="[Calendar].[Month].&amp;[November]" c="November"/>
              <i n="[Calendar].[Month].&amp;[December]" c="December"/>
            </range>
          </ranges>
        </level>
      </levels>
      <selections count="1">
        <selection n="[Calendar].[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3EF40C0C-E6DD-403C-804D-32D5C360E7DF}" cache="Slicer_Product_Name" caption="Product Name" level="1" style="Slicer Style 2" rowHeight="234950"/>
  <slicer name="Year" xr10:uid="{D0F7F473-0E9C-480D-A7B7-FD080805906D}" cache="Slicer_Date_Hierarchy" caption="Year" level="1" style="Slicer Style 2" rowHeight="234950"/>
  <slicer name="Month" xr10:uid="{2B6421E2-A487-4338-A7C0-22E5265F37DE}" cache="Slicer_Month" caption="Month" level="1" style="Slicer Style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F292A-F3A2-4F3E-9B16-6F23CB7D0A8C}">
  <dimension ref="B2:J67"/>
  <sheetViews>
    <sheetView tabSelected="1" workbookViewId="0">
      <selection activeCell="G42" sqref="G42"/>
    </sheetView>
  </sheetViews>
  <sheetFormatPr defaultRowHeight="14.4" x14ac:dyDescent="0.3"/>
  <cols>
    <col min="2" max="2" width="25.109375" customWidth="1"/>
    <col min="3" max="3" width="12.88671875" bestFit="1" customWidth="1"/>
    <col min="7" max="7" width="13.6640625" bestFit="1" customWidth="1"/>
    <col min="8" max="8" width="12.6640625" bestFit="1" customWidth="1"/>
  </cols>
  <sheetData>
    <row r="2" spans="2:9" x14ac:dyDescent="0.3">
      <c r="B2" s="10" t="s">
        <v>0</v>
      </c>
      <c r="C2" s="11"/>
      <c r="D2" s="11"/>
      <c r="G2" s="10" t="s">
        <v>1</v>
      </c>
      <c r="H2" s="11"/>
      <c r="I2" s="11"/>
    </row>
    <row r="3" spans="2:9" x14ac:dyDescent="0.3">
      <c r="B3" s="11"/>
      <c r="C3" s="11"/>
      <c r="D3" s="11"/>
      <c r="G3" s="11"/>
      <c r="H3" s="11"/>
      <c r="I3" s="11"/>
    </row>
    <row r="4" spans="2:9" ht="14.4" customHeight="1" x14ac:dyDescent="0.3"/>
    <row r="5" spans="2:9" ht="15.6" x14ac:dyDescent="0.3">
      <c r="B5" t="s">
        <v>5</v>
      </c>
      <c r="G5" s="12" t="s">
        <v>29</v>
      </c>
      <c r="H5" s="9"/>
    </row>
    <row r="6" spans="2:9" x14ac:dyDescent="0.3">
      <c r="B6" s="13">
        <v>38506166.450000003</v>
      </c>
      <c r="G6" s="5" t="s">
        <v>6</v>
      </c>
      <c r="H6" t="s">
        <v>5</v>
      </c>
    </row>
    <row r="7" spans="2:9" x14ac:dyDescent="0.3">
      <c r="B7" s="4"/>
      <c r="G7" s="6" t="s">
        <v>7</v>
      </c>
      <c r="H7" s="1">
        <v>4015448.15</v>
      </c>
    </row>
    <row r="8" spans="2:9" x14ac:dyDescent="0.3">
      <c r="B8" s="4"/>
      <c r="G8" s="6" t="s">
        <v>8</v>
      </c>
      <c r="H8" s="1">
        <v>3380986.31</v>
      </c>
    </row>
    <row r="9" spans="2:9" x14ac:dyDescent="0.3">
      <c r="B9" s="4"/>
      <c r="G9" s="6" t="s">
        <v>9</v>
      </c>
      <c r="H9" s="1">
        <v>4060588.97</v>
      </c>
    </row>
    <row r="10" spans="2:9" x14ac:dyDescent="0.3">
      <c r="B10" t="s">
        <v>2</v>
      </c>
      <c r="G10" s="6" t="s">
        <v>10</v>
      </c>
      <c r="H10" s="1">
        <v>4233015.87</v>
      </c>
    </row>
    <row r="11" spans="2:9" x14ac:dyDescent="0.3">
      <c r="B11" s="2">
        <v>100</v>
      </c>
      <c r="G11" s="6" t="s">
        <v>11</v>
      </c>
      <c r="H11" s="1">
        <v>4356335.4000000004</v>
      </c>
    </row>
    <row r="12" spans="2:9" x14ac:dyDescent="0.3">
      <c r="B12" s="4"/>
      <c r="G12" s="6" t="s">
        <v>12</v>
      </c>
      <c r="H12" s="1">
        <v>3639656.87</v>
      </c>
    </row>
    <row r="13" spans="2:9" x14ac:dyDescent="0.3">
      <c r="B13" s="4"/>
      <c r="G13" s="6" t="s">
        <v>13</v>
      </c>
      <c r="H13" s="1">
        <v>3788112</v>
      </c>
    </row>
    <row r="14" spans="2:9" x14ac:dyDescent="0.3">
      <c r="B14" s="4"/>
      <c r="G14" s="6" t="s">
        <v>14</v>
      </c>
      <c r="H14" s="1">
        <v>3946702.22</v>
      </c>
    </row>
    <row r="15" spans="2:9" x14ac:dyDescent="0.3">
      <c r="B15" t="s">
        <v>3</v>
      </c>
      <c r="G15" s="6" t="s">
        <v>15</v>
      </c>
      <c r="H15" s="1">
        <v>3526715.84</v>
      </c>
    </row>
    <row r="16" spans="2:9" x14ac:dyDescent="0.3">
      <c r="B16" s="3">
        <v>0.54554554554554557</v>
      </c>
      <c r="G16" s="6" t="s">
        <v>16</v>
      </c>
      <c r="H16" s="1">
        <v>3558604.82</v>
      </c>
    </row>
    <row r="17" spans="2:10" x14ac:dyDescent="0.3">
      <c r="B17" s="4"/>
      <c r="G17" s="6" t="s">
        <v>17</v>
      </c>
      <c r="H17" s="1">
        <v>38506166.450000003</v>
      </c>
    </row>
    <row r="18" spans="2:10" x14ac:dyDescent="0.3">
      <c r="B18" s="4"/>
    </row>
    <row r="19" spans="2:10" x14ac:dyDescent="0.3">
      <c r="B19" s="4"/>
    </row>
    <row r="20" spans="2:10" x14ac:dyDescent="0.3">
      <c r="B20" t="s">
        <v>4</v>
      </c>
    </row>
    <row r="21" spans="2:10" x14ac:dyDescent="0.3">
      <c r="B21" s="13">
        <v>70653.516422018351</v>
      </c>
    </row>
    <row r="24" spans="2:10" x14ac:dyDescent="0.3">
      <c r="G24" s="8" t="s">
        <v>30</v>
      </c>
      <c r="H24" s="9"/>
    </row>
    <row r="25" spans="2:10" x14ac:dyDescent="0.3">
      <c r="B25" s="7" t="s">
        <v>45</v>
      </c>
      <c r="G25" s="9"/>
      <c r="H25" s="9"/>
    </row>
    <row r="26" spans="2:10" x14ac:dyDescent="0.3">
      <c r="B26" s="14">
        <v>345132306</v>
      </c>
      <c r="G26" s="5" t="s">
        <v>6</v>
      </c>
      <c r="H26" t="s">
        <v>5</v>
      </c>
      <c r="J26" s="1"/>
    </row>
    <row r="27" spans="2:10" x14ac:dyDescent="0.3">
      <c r="G27" s="6" t="s">
        <v>18</v>
      </c>
      <c r="H27" s="1">
        <v>8187100.4400000004</v>
      </c>
    </row>
    <row r="28" spans="2:10" x14ac:dyDescent="0.3">
      <c r="G28" s="6" t="s">
        <v>19</v>
      </c>
      <c r="H28" s="1">
        <v>8133032.2300000004</v>
      </c>
    </row>
    <row r="29" spans="2:10" x14ac:dyDescent="0.3">
      <c r="G29" s="6" t="s">
        <v>20</v>
      </c>
      <c r="H29" s="1">
        <v>7267406.7300000004</v>
      </c>
    </row>
    <row r="30" spans="2:10" x14ac:dyDescent="0.3">
      <c r="G30" s="6" t="s">
        <v>21</v>
      </c>
      <c r="H30" s="1">
        <v>6682073.8200000003</v>
      </c>
    </row>
    <row r="31" spans="2:10" x14ac:dyDescent="0.3">
      <c r="G31" s="6" t="s">
        <v>22</v>
      </c>
      <c r="H31" s="1">
        <v>8236553.2300000004</v>
      </c>
    </row>
    <row r="32" spans="2:10" x14ac:dyDescent="0.3">
      <c r="G32" s="6" t="s">
        <v>17</v>
      </c>
      <c r="H32" s="1">
        <v>38506166.450000003</v>
      </c>
    </row>
    <row r="37" spans="7:8" x14ac:dyDescent="0.3">
      <c r="G37" s="8" t="s">
        <v>28</v>
      </c>
      <c r="H37" s="9"/>
    </row>
    <row r="38" spans="7:8" x14ac:dyDescent="0.3">
      <c r="G38" s="9"/>
      <c r="H38" s="9"/>
    </row>
    <row r="39" spans="7:8" x14ac:dyDescent="0.3">
      <c r="G39" s="5" t="s">
        <v>6</v>
      </c>
      <c r="H39" t="s">
        <v>5</v>
      </c>
    </row>
    <row r="40" spans="7:8" x14ac:dyDescent="0.3">
      <c r="G40" s="6" t="s">
        <v>27</v>
      </c>
      <c r="H40" s="1">
        <v>2590664.37</v>
      </c>
    </row>
    <row r="41" spans="7:8" x14ac:dyDescent="0.3">
      <c r="G41" s="6" t="s">
        <v>24</v>
      </c>
      <c r="H41" s="1">
        <v>2488661.9</v>
      </c>
    </row>
    <row r="42" spans="7:8" x14ac:dyDescent="0.3">
      <c r="G42" s="6" t="s">
        <v>26</v>
      </c>
      <c r="H42" s="1">
        <v>2474740.66</v>
      </c>
    </row>
    <row r="43" spans="7:8" x14ac:dyDescent="0.3">
      <c r="G43" s="6" t="s">
        <v>25</v>
      </c>
      <c r="H43" s="1">
        <v>2272871.42</v>
      </c>
    </row>
    <row r="44" spans="7:8" x14ac:dyDescent="0.3">
      <c r="G44" s="6" t="s">
        <v>23</v>
      </c>
      <c r="H44" s="1">
        <v>2219630.17</v>
      </c>
    </row>
    <row r="45" spans="7:8" x14ac:dyDescent="0.3">
      <c r="G45" s="6" t="s">
        <v>17</v>
      </c>
      <c r="H45" s="1">
        <v>12046568.52</v>
      </c>
    </row>
    <row r="50" spans="7:8" x14ac:dyDescent="0.3">
      <c r="G50" s="8" t="s">
        <v>44</v>
      </c>
      <c r="H50" s="9"/>
    </row>
    <row r="51" spans="7:8" x14ac:dyDescent="0.3">
      <c r="G51" s="9"/>
      <c r="H51" s="9"/>
    </row>
    <row r="52" spans="7:8" ht="14.4" customHeight="1" x14ac:dyDescent="0.3"/>
    <row r="54" spans="7:8" x14ac:dyDescent="0.3">
      <c r="G54" s="5" t="s">
        <v>6</v>
      </c>
      <c r="H54" t="s">
        <v>31</v>
      </c>
    </row>
    <row r="55" spans="7:8" x14ac:dyDescent="0.3">
      <c r="G55" s="6" t="s">
        <v>32</v>
      </c>
      <c r="H55" s="2">
        <v>78</v>
      </c>
    </row>
    <row r="56" spans="7:8" x14ac:dyDescent="0.3">
      <c r="G56" s="6" t="s">
        <v>33</v>
      </c>
      <c r="H56" s="2">
        <v>78</v>
      </c>
    </row>
    <row r="57" spans="7:8" x14ac:dyDescent="0.3">
      <c r="G57" s="6" t="s">
        <v>34</v>
      </c>
      <c r="H57" s="2">
        <v>94</v>
      </c>
    </row>
    <row r="58" spans="7:8" x14ac:dyDescent="0.3">
      <c r="G58" s="6" t="s">
        <v>35</v>
      </c>
      <c r="H58" s="2">
        <v>70</v>
      </c>
    </row>
    <row r="59" spans="7:8" x14ac:dyDescent="0.3">
      <c r="G59" s="6" t="s">
        <v>36</v>
      </c>
      <c r="H59" s="2">
        <v>76</v>
      </c>
    </row>
    <row r="60" spans="7:8" x14ac:dyDescent="0.3">
      <c r="G60" s="6" t="s">
        <v>37</v>
      </c>
      <c r="H60" s="2">
        <v>88</v>
      </c>
    </row>
    <row r="61" spans="7:8" x14ac:dyDescent="0.3">
      <c r="G61" s="6" t="s">
        <v>38</v>
      </c>
      <c r="H61" s="2">
        <v>92</v>
      </c>
    </row>
    <row r="62" spans="7:8" x14ac:dyDescent="0.3">
      <c r="G62" s="6" t="s">
        <v>39</v>
      </c>
      <c r="H62" s="2">
        <v>90</v>
      </c>
    </row>
    <row r="63" spans="7:8" x14ac:dyDescent="0.3">
      <c r="G63" s="6" t="s">
        <v>40</v>
      </c>
      <c r="H63" s="2">
        <v>81</v>
      </c>
    </row>
    <row r="64" spans="7:8" x14ac:dyDescent="0.3">
      <c r="G64" s="6" t="s">
        <v>41</v>
      </c>
      <c r="H64" s="2">
        <v>81</v>
      </c>
    </row>
    <row r="65" spans="7:8" x14ac:dyDescent="0.3">
      <c r="G65" s="6" t="s">
        <v>42</v>
      </c>
      <c r="H65" s="2">
        <v>77</v>
      </c>
    </row>
    <row r="66" spans="7:8" x14ac:dyDescent="0.3">
      <c r="G66" s="6" t="s">
        <v>43</v>
      </c>
      <c r="H66" s="2">
        <v>94</v>
      </c>
    </row>
    <row r="67" spans="7:8" x14ac:dyDescent="0.3">
      <c r="G67" s="6" t="s">
        <v>17</v>
      </c>
      <c r="H67" s="2">
        <v>999</v>
      </c>
    </row>
  </sheetData>
  <mergeCells count="6">
    <mergeCell ref="G50:H51"/>
    <mergeCell ref="B2:D3"/>
    <mergeCell ref="G2:I3"/>
    <mergeCell ref="G37:H38"/>
    <mergeCell ref="G24:H25"/>
    <mergeCell ref="G5:H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5DA9E-58E7-4325-8389-2BAB32198329}">
  <dimension ref="A1"/>
  <sheetViews>
    <sheetView zoomScale="85" zoomScaleNormal="85" workbookViewId="0">
      <selection activeCell="W24" sqref="W2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Props1.xml><?xml version="1.0" encoding="utf-8"?>
<ds:datastoreItem xmlns:ds="http://schemas.openxmlformats.org/officeDocument/2006/customXml" ds:itemID="{FDC7F759-7134-402A-B2BB-EAFC077AC2A3}">
  <ds:schemaRefs/>
</ds:datastoreItem>
</file>

<file path=customXml/itemProps2.xml><?xml version="1.0" encoding="utf-8"?>
<ds:datastoreItem xmlns:ds="http://schemas.openxmlformats.org/officeDocument/2006/customXml" ds:itemID="{CED3B747-DA7F-4103-93BB-BBC5032E1601}">
  <ds:schemaRefs/>
</ds:datastoreItem>
</file>

<file path=customXml/itemProps3.xml><?xml version="1.0" encoding="utf-8"?>
<ds:datastoreItem xmlns:ds="http://schemas.openxmlformats.org/officeDocument/2006/customXml" ds:itemID="{8F9146C9-0D7C-471B-AD47-C4BD762BC56D}">
  <ds:schemaRefs>
    <ds:schemaRef ds:uri="http://schemas.microsoft.com/DataMashup"/>
  </ds:schemaRefs>
</ds:datastoreItem>
</file>

<file path=customXml/itemProps4.xml><?xml version="1.0" encoding="utf-8"?>
<ds:datastoreItem xmlns:ds="http://schemas.openxmlformats.org/officeDocument/2006/customXml" ds:itemID="{5DAF60F2-749D-41C3-A342-3075E9B12EBB}">
  <ds:schemaRefs/>
</ds:datastoreItem>
</file>

<file path=customXml/itemProps5.xml><?xml version="1.0" encoding="utf-8"?>
<ds:datastoreItem xmlns:ds="http://schemas.openxmlformats.org/officeDocument/2006/customXml" ds:itemID="{92F084DA-C6B7-49D5-BD84-C62FAA6210C8}">
  <ds:schemaRefs/>
</ds:datastoreItem>
</file>

<file path=customXml/itemProps6.xml><?xml version="1.0" encoding="utf-8"?>
<ds:datastoreItem xmlns:ds="http://schemas.openxmlformats.org/officeDocument/2006/customXml" ds:itemID="{904AC04A-D30F-4FCF-AE8E-7A3D378B0F35}">
  <ds:schemaRefs/>
</ds:datastoreItem>
</file>

<file path=customXml/itemProps7.xml><?xml version="1.0" encoding="utf-8"?>
<ds:datastoreItem xmlns:ds="http://schemas.openxmlformats.org/officeDocument/2006/customXml" ds:itemID="{4676E29C-7456-432C-BFFB-0F2315E463EA}">
  <ds:schemaRefs/>
</ds:datastoreItem>
</file>

<file path=customXml/itemProps8.xml><?xml version="1.0" encoding="utf-8"?>
<ds:datastoreItem xmlns:ds="http://schemas.openxmlformats.org/officeDocument/2006/customXml" ds:itemID="{DD4E435A-2E8C-425C-9A4C-C584B475B0B6}">
  <ds:schemaRefs/>
</ds:datastoreItem>
</file>

<file path=customXml/itemProps9.xml><?xml version="1.0" encoding="utf-8"?>
<ds:datastoreItem xmlns:ds="http://schemas.openxmlformats.org/officeDocument/2006/customXml" ds:itemID="{A97590C3-AB9D-443E-931D-0ADC2ECDF0AD}">
  <ds:schemaRefs/>
</ds:datastoreItem>
</file>

<file path=customXml/itemProps10.xml><?xml version="1.0" encoding="utf-8"?>
<ds:datastoreItem xmlns:ds="http://schemas.openxmlformats.org/officeDocument/2006/customXml" ds:itemID="{F8DE72AF-FAB0-4BCB-9650-DC3764911E81}">
  <ds:schemaRefs/>
</ds:datastoreItem>
</file>

<file path=customXml/itemProps11.xml><?xml version="1.0" encoding="utf-8"?>
<ds:datastoreItem xmlns:ds="http://schemas.openxmlformats.org/officeDocument/2006/customXml" ds:itemID="{07BBDCAB-4BFD-4B59-8A66-55B6352847DA}">
  <ds:schemaRefs/>
</ds:datastoreItem>
</file>

<file path=customXml/itemProps12.xml><?xml version="1.0" encoding="utf-8"?>
<ds:datastoreItem xmlns:ds="http://schemas.openxmlformats.org/officeDocument/2006/customXml" ds:itemID="{3205A8DB-332F-4A00-BE73-421B39190628}">
  <ds:schemaRefs/>
</ds:datastoreItem>
</file>

<file path=customXml/itemProps13.xml><?xml version="1.0" encoding="utf-8"?>
<ds:datastoreItem xmlns:ds="http://schemas.openxmlformats.org/officeDocument/2006/customXml" ds:itemID="{86654E1E-222E-4E9D-8586-F99FA7167DCF}">
  <ds:schemaRefs/>
</ds:datastoreItem>
</file>

<file path=customXml/itemProps14.xml><?xml version="1.0" encoding="utf-8"?>
<ds:datastoreItem xmlns:ds="http://schemas.openxmlformats.org/officeDocument/2006/customXml" ds:itemID="{457ED6F7-A116-4745-9F7B-5B7D749FFC93}">
  <ds:schemaRefs/>
</ds:datastoreItem>
</file>

<file path=customXml/itemProps15.xml><?xml version="1.0" encoding="utf-8"?>
<ds:datastoreItem xmlns:ds="http://schemas.openxmlformats.org/officeDocument/2006/customXml" ds:itemID="{33E45990-B0CB-4565-AC4F-FD3757AE803A}">
  <ds:schemaRefs/>
</ds:datastoreItem>
</file>

<file path=customXml/itemProps16.xml><?xml version="1.0" encoding="utf-8"?>
<ds:datastoreItem xmlns:ds="http://schemas.openxmlformats.org/officeDocument/2006/customXml" ds:itemID="{7C558593-EF92-46F7-90DA-BA9F187F92C4}">
  <ds:schemaRefs/>
</ds:datastoreItem>
</file>

<file path=customXml/itemProps17.xml><?xml version="1.0" encoding="utf-8"?>
<ds:datastoreItem xmlns:ds="http://schemas.openxmlformats.org/officeDocument/2006/customXml" ds:itemID="{2A35B620-8780-4CD5-B35B-EF399589EAF0}">
  <ds:schemaRefs/>
</ds:datastoreItem>
</file>

<file path=customXml/itemProps18.xml><?xml version="1.0" encoding="utf-8"?>
<ds:datastoreItem xmlns:ds="http://schemas.openxmlformats.org/officeDocument/2006/customXml" ds:itemID="{DE51CCD6-A0D6-4D0C-8EC3-2C4B4F7B07CE}">
  <ds:schemaRefs/>
</ds:datastoreItem>
</file>

<file path=customXml/itemProps19.xml><?xml version="1.0" encoding="utf-8"?>
<ds:datastoreItem xmlns:ds="http://schemas.openxmlformats.org/officeDocument/2006/customXml" ds:itemID="{F1C84833-1DCF-4CB6-AD08-A61CA4680FA0}">
  <ds:schemaRefs/>
</ds:datastoreItem>
</file>

<file path=customXml/itemProps20.xml><?xml version="1.0" encoding="utf-8"?>
<ds:datastoreItem xmlns:ds="http://schemas.openxmlformats.org/officeDocument/2006/customXml" ds:itemID="{8FBB9A19-F39D-4CF8-9824-FB7063FAC91A}">
  <ds:schemaRefs/>
</ds:datastoreItem>
</file>

<file path=customXml/itemProps21.xml><?xml version="1.0" encoding="utf-8"?>
<ds:datastoreItem xmlns:ds="http://schemas.openxmlformats.org/officeDocument/2006/customXml" ds:itemID="{13356556-85D3-4583-B61F-B87DA23E401C}">
  <ds:schemaRefs/>
</ds:datastoreItem>
</file>

<file path=customXml/itemProps22.xml><?xml version="1.0" encoding="utf-8"?>
<ds:datastoreItem xmlns:ds="http://schemas.openxmlformats.org/officeDocument/2006/customXml" ds:itemID="{E46A16E2-05F8-47E8-A35D-805927D0CA59}">
  <ds:schemaRefs/>
</ds:datastoreItem>
</file>

<file path=customXml/itemProps23.xml><?xml version="1.0" encoding="utf-8"?>
<ds:datastoreItem xmlns:ds="http://schemas.openxmlformats.org/officeDocument/2006/customXml" ds:itemID="{44469823-379E-47BB-B3AA-1CA21B0B2F9F}">
  <ds:schemaRefs/>
</ds:datastoreItem>
</file>

<file path=customXml/itemProps24.xml><?xml version="1.0" encoding="utf-8"?>
<ds:datastoreItem xmlns:ds="http://schemas.openxmlformats.org/officeDocument/2006/customXml" ds:itemID="{4EEA11BB-AA5A-4052-91B2-7603F99F116C}">
  <ds:schemaRefs/>
</ds:datastoreItem>
</file>

<file path=customXml/itemProps25.xml><?xml version="1.0" encoding="utf-8"?>
<ds:datastoreItem xmlns:ds="http://schemas.openxmlformats.org/officeDocument/2006/customXml" ds:itemID="{D464DE4C-BF19-487F-9F86-EFAB90DB28E4}">
  <ds:schemaRefs/>
</ds:datastoreItem>
</file>

<file path=customXml/itemProps26.xml><?xml version="1.0" encoding="utf-8"?>
<ds:datastoreItem xmlns:ds="http://schemas.openxmlformats.org/officeDocument/2006/customXml" ds:itemID="{D223AE08-943B-4366-BAC3-828EAAE4F57A}">
  <ds:schemaRefs/>
</ds:datastoreItem>
</file>

<file path=customXml/itemProps27.xml><?xml version="1.0" encoding="utf-8"?>
<ds:datastoreItem xmlns:ds="http://schemas.openxmlformats.org/officeDocument/2006/customXml" ds:itemID="{ED75BB0D-1A3A-4959-88F6-FD182B86AF87}">
  <ds:schemaRefs/>
</ds:datastoreItem>
</file>

<file path=customXml/itemProps28.xml><?xml version="1.0" encoding="utf-8"?>
<ds:datastoreItem xmlns:ds="http://schemas.openxmlformats.org/officeDocument/2006/customXml" ds:itemID="{48F4A7F2-C896-401C-9118-32526C108399}">
  <ds:schemaRefs/>
</ds:datastoreItem>
</file>

<file path=customXml/itemProps29.xml><?xml version="1.0" encoding="utf-8"?>
<ds:datastoreItem xmlns:ds="http://schemas.openxmlformats.org/officeDocument/2006/customXml" ds:itemID="{E71463AD-8DE6-4412-B5E3-957398E71F20}">
  <ds:schemaRefs/>
</ds:datastoreItem>
</file>

<file path=customXml/itemProps30.xml><?xml version="1.0" encoding="utf-8"?>
<ds:datastoreItem xmlns:ds="http://schemas.openxmlformats.org/officeDocument/2006/customXml" ds:itemID="{A68C8E5E-325F-4A41-9247-B80020A306AE}">
  <ds:schemaRefs/>
</ds:datastoreItem>
</file>

<file path=customXml/itemProps31.xml><?xml version="1.0" encoding="utf-8"?>
<ds:datastoreItem xmlns:ds="http://schemas.openxmlformats.org/officeDocument/2006/customXml" ds:itemID="{77F36993-73E0-4C87-8D38-6D6508A3AE8F}">
  <ds:schemaRefs/>
</ds:datastoreItem>
</file>

<file path=customXml/itemProps32.xml><?xml version="1.0" encoding="utf-8"?>
<ds:datastoreItem xmlns:ds="http://schemas.openxmlformats.org/officeDocument/2006/customXml" ds:itemID="{CEB6DE4B-7FDF-4C13-BDC2-2E4E5AC4A1B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Analytics Engine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Hala Hosam</dc:creator>
  <cp:lastModifiedBy>Hala Hosam</cp:lastModifiedBy>
  <dcterms:created xsi:type="dcterms:W3CDTF">2026-08-28T14:16:55Z</dcterms:created>
  <dcterms:modified xsi:type="dcterms:W3CDTF">2026-08-30T18:07:33Z</dcterms:modified>
</cp:coreProperties>
</file>